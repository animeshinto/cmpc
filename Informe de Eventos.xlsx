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https://sclconsultores-my.sharepoint.com/personal/ajimenez_sclconsultores_com/Documents/Escritorio/CMPC/"/>
    </mc:Choice>
  </mc:AlternateContent>
  <xr:revisionPtr revIDLastSave="173" documentId="13_ncr:1_{10599952-D556-402F-98E8-EA8668418286}" xr6:coauthVersionLast="47" xr6:coauthVersionMax="47" xr10:uidLastSave="{B03F9291-FE5E-43A0-A0AE-B01ED3370CC4}"/>
  <bookViews>
    <workbookView xWindow="-20610" yWindow="4620" windowWidth="20730" windowHeight="11040" xr2:uid="{656B7728-EE50-412D-AAA5-A7D44CFBDB38}"/>
  </bookViews>
  <sheets>
    <sheet name="2026" sheetId="12" r:id="rId1"/>
    <sheet name="2025" sheetId="2" r:id="rId2"/>
    <sheet name="2024" sheetId="1" r:id="rId3"/>
    <sheet name="Hoja1" sheetId="11" r:id="rId4"/>
    <sheet name="Hoja5" sheetId="9" r:id="rId5"/>
    <sheet name="Hoja6" sheetId="10" r:id="rId6"/>
  </sheets>
  <externalReferences>
    <externalReference r:id="rId7"/>
    <externalReference r:id="rId8"/>
  </externalReferences>
  <definedNames>
    <definedName name="_xlnm._FilterDatabase" localSheetId="2" hidden="1">'2024'!$A$1:$J$900</definedName>
    <definedName name="_xlnm._FilterDatabase" localSheetId="1" hidden="1">'2025'!$A$1:$L$197</definedName>
    <definedName name="_xlnm._FilterDatabase" localSheetId="0" hidden="1">'2026'!$A$1:$L$99</definedName>
    <definedName name="_xlcn.WorksheetConnection_2025A1M10001" hidden="1">'2025'!$A$1:$L$988</definedName>
    <definedName name="_xlcn.WorksheetConnection_ServiciosCMPC_planillamaestra.xlsxDATOSB6G1821" hidden="1">[1]DATOS!$B$6:$G$182</definedName>
    <definedName name="SegmentaciónDeDatos_Fecha_de_Inicio__mes">#N/A</definedName>
  </definedNames>
  <calcPr calcId="191029"/>
  <pivotCaches>
    <pivotCache cacheId="108" r:id="rId9"/>
    <pivotCache cacheId="109" r:id="rId10"/>
    <pivotCache cacheId="110" r:id="rId11"/>
    <pivotCache cacheId="111" r:id="rId12"/>
    <pivotCache cacheId="112" r:id="rId13"/>
  </pivotCaches>
  <extLst>
    <ext xmlns:x14="http://schemas.microsoft.com/office/spreadsheetml/2009/9/main" uri="{876F7934-8845-4945-9796-88D515C7AA90}">
      <x14:pivotCaches>
        <pivotCache cacheId="113"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2025!$A$1:$M$1000"/>
          <x15:modelTable id="Rango 1" name="Rango 1" connection="WorksheetConnection_[Servicios CMPC_planillamaestra.xlsx]DATOS!$B$6:$G$182"/>
        </x15:modelTables>
        <x15:extLst>
          <ext xmlns:x16="http://schemas.microsoft.com/office/spreadsheetml/2014/11/main" uri="{9835A34E-60A6-4A7C-AAB8-D5F71C897F49}">
            <x16:modelTimeGroupings>
              <x16:modelTimeGrouping tableName="Rango" columnName="Fecha de Inicio" columnId="Fecha de Inicio">
                <x16:calculatedTimeColumn columnName="Fecha de Inicio (índice de meses)" columnId="Fecha de Inicio (índice de meses)" contentType="monthsindex" isSelected="1"/>
                <x16:calculatedTimeColumn columnName="Fecha de Inicio (mes)" columnId="Fecha de Inicio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2" l="1"/>
  <c r="D43" i="12"/>
  <c r="E43" i="12"/>
  <c r="F43" i="12"/>
  <c r="D42" i="12"/>
  <c r="E42" i="12"/>
  <c r="F42" i="12"/>
  <c r="D41" i="12"/>
  <c r="E41" i="12"/>
  <c r="F41" i="12"/>
  <c r="D40" i="12"/>
  <c r="E40" i="12"/>
  <c r="F40" i="12"/>
  <c r="D39" i="12"/>
  <c r="E39" i="12"/>
  <c r="F39" i="12"/>
  <c r="D38" i="12"/>
  <c r="E38" i="12"/>
  <c r="F38" i="12"/>
  <c r="D37" i="12"/>
  <c r="E37" i="12"/>
  <c r="F37" i="12"/>
  <c r="D36" i="12"/>
  <c r="E36" i="12"/>
  <c r="F36" i="12"/>
  <c r="D35" i="12"/>
  <c r="E35" i="12"/>
  <c r="F35" i="12"/>
  <c r="D34" i="12"/>
  <c r="E34" i="12"/>
  <c r="F34" i="12"/>
  <c r="D31" i="12"/>
  <c r="E31" i="12"/>
  <c r="F31" i="12"/>
  <c r="D32" i="12"/>
  <c r="E32" i="12"/>
  <c r="F32" i="12"/>
  <c r="D33" i="12"/>
  <c r="E33" i="12"/>
  <c r="F33" i="12"/>
  <c r="D30" i="12"/>
  <c r="E30" i="12"/>
  <c r="F30" i="12"/>
  <c r="D28" i="12"/>
  <c r="E28" i="12"/>
  <c r="F28" i="12"/>
  <c r="D29" i="12"/>
  <c r="E29" i="12"/>
  <c r="F29" i="12"/>
  <c r="D26" i="12" l="1"/>
  <c r="E26" i="12"/>
  <c r="F26" i="12"/>
  <c r="L25" i="12"/>
  <c r="L27" i="12"/>
  <c r="L26" i="12"/>
  <c r="D27" i="12"/>
  <c r="E27" i="12"/>
  <c r="F27" i="12"/>
  <c r="D25" i="12"/>
  <c r="E25" i="12"/>
  <c r="F25" i="12"/>
  <c r="D21" i="12"/>
  <c r="E21" i="12"/>
  <c r="F21" i="12"/>
  <c r="D22" i="12"/>
  <c r="E22" i="12"/>
  <c r="F22" i="12"/>
  <c r="D24" i="12"/>
  <c r="E24" i="12"/>
  <c r="F24" i="12"/>
  <c r="D23" i="12"/>
  <c r="E23" i="12"/>
  <c r="F23" i="12"/>
  <c r="D20" i="12"/>
  <c r="E20" i="12"/>
  <c r="F20" i="12"/>
  <c r="D19" i="12"/>
  <c r="E19" i="12"/>
  <c r="F19" i="12"/>
  <c r="D17" i="12"/>
  <c r="E17" i="12"/>
  <c r="F17" i="12"/>
  <c r="D18" i="12"/>
  <c r="E18" i="12"/>
  <c r="F18" i="12"/>
  <c r="D16" i="12"/>
  <c r="E16" i="12"/>
  <c r="F16" i="12"/>
  <c r="F15" i="12"/>
  <c r="E15" i="12"/>
  <c r="D14" i="12"/>
  <c r="E14" i="12"/>
  <c r="F14" i="12"/>
  <c r="D13" i="12"/>
  <c r="E13" i="12"/>
  <c r="F13" i="12"/>
  <c r="D12" i="12"/>
  <c r="E12" i="12"/>
  <c r="F12" i="12"/>
  <c r="D11" i="12"/>
  <c r="E11" i="12"/>
  <c r="F11" i="12"/>
  <c r="D10" i="12"/>
  <c r="E10" i="12"/>
  <c r="F10" i="12"/>
  <c r="L7" i="12"/>
  <c r="L5" i="12"/>
  <c r="L6" i="12"/>
  <c r="L8" i="12"/>
  <c r="L9" i="12"/>
  <c r="L10" i="12"/>
  <c r="E7" i="12"/>
  <c r="D9" i="12"/>
  <c r="E9" i="12"/>
  <c r="F9" i="12"/>
  <c r="F8" i="12"/>
  <c r="E8" i="12"/>
  <c r="D8" i="12"/>
  <c r="L11" i="12"/>
  <c r="L12" i="12"/>
  <c r="L13" i="12"/>
  <c r="L14" i="12"/>
  <c r="L15" i="12"/>
  <c r="L16" i="12"/>
  <c r="L17" i="12"/>
  <c r="L18" i="12"/>
  <c r="L19" i="12"/>
  <c r="L20" i="12"/>
  <c r="L23" i="12"/>
  <c r="L24" i="12"/>
  <c r="L22" i="12"/>
  <c r="L21" i="12"/>
  <c r="L28" i="12"/>
  <c r="L29" i="12"/>
  <c r="L32" i="12"/>
  <c r="L33" i="12"/>
  <c r="L30" i="12"/>
  <c r="L31"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D7" i="12"/>
  <c r="F7" i="12"/>
  <c r="D6" i="12"/>
  <c r="E6" i="12"/>
  <c r="F6" i="12"/>
  <c r="F5" i="12"/>
  <c r="E5" i="12"/>
  <c r="D5" i="12"/>
  <c r="D4" i="12"/>
  <c r="E4" i="12"/>
  <c r="F4" i="12"/>
  <c r="L4" i="12"/>
  <c r="D3" i="12"/>
  <c r="E3" i="12"/>
  <c r="F3" i="12"/>
  <c r="L3" i="12"/>
  <c r="L2" i="12"/>
  <c r="F2" i="12"/>
  <c r="E2" i="12"/>
  <c r="D2" i="12"/>
  <c r="D263" i="2"/>
  <c r="D213" i="2"/>
  <c r="L262" i="2"/>
  <c r="D262" i="2"/>
  <c r="E262" i="2"/>
  <c r="F262" i="2"/>
  <c r="L261" i="2"/>
  <c r="D261" i="2"/>
  <c r="E261" i="2"/>
  <c r="F261" i="2"/>
  <c r="L260" i="2"/>
  <c r="D260" i="2"/>
  <c r="E260" i="2"/>
  <c r="F260" i="2"/>
  <c r="L259" i="2"/>
  <c r="D259" i="2"/>
  <c r="E259" i="2"/>
  <c r="F259" i="2"/>
  <c r="L258" i="2"/>
  <c r="D258" i="2"/>
  <c r="E258" i="2"/>
  <c r="F258" i="2"/>
  <c r="L253" i="2"/>
  <c r="L254" i="2"/>
  <c r="L255" i="2"/>
  <c r="L256" i="2"/>
  <c r="L257" i="2"/>
  <c r="D257" i="2"/>
  <c r="E257" i="2"/>
  <c r="F257" i="2"/>
  <c r="D255" i="2"/>
  <c r="E255" i="2"/>
  <c r="F255" i="2"/>
  <c r="D256" i="2"/>
  <c r="E256" i="2"/>
  <c r="F256" i="2"/>
  <c r="D254" i="2"/>
  <c r="E254" i="2"/>
  <c r="F254" i="2"/>
  <c r="D253" i="2"/>
  <c r="E253" i="2"/>
  <c r="F253" i="2"/>
  <c r="L251" i="2"/>
  <c r="L250" i="2"/>
  <c r="L252" i="2"/>
  <c r="D252" i="2"/>
  <c r="E252" i="2"/>
  <c r="F252" i="2"/>
  <c r="D251" i="2"/>
  <c r="E251" i="2"/>
  <c r="F251" i="2"/>
  <c r="F250" i="2"/>
  <c r="E250" i="2"/>
  <c r="D250" i="2"/>
  <c r="L249" i="2"/>
  <c r="D249" i="2"/>
  <c r="E249" i="2"/>
  <c r="F249" i="2"/>
  <c r="L248" i="2"/>
  <c r="D248" i="2"/>
  <c r="E248" i="2"/>
  <c r="F248" i="2"/>
  <c r="L247" i="2"/>
  <c r="D247" i="2"/>
  <c r="E247" i="2"/>
  <c r="F247" i="2"/>
  <c r="L246" i="2"/>
  <c r="D246" i="2"/>
  <c r="E246" i="2"/>
  <c r="F246" i="2"/>
  <c r="L245" i="2"/>
  <c r="D245" i="2"/>
  <c r="E245" i="2"/>
  <c r="F245" i="2"/>
  <c r="L241" i="2"/>
  <c r="L242" i="2"/>
  <c r="L243" i="2"/>
  <c r="L240" i="2"/>
  <c r="L239" i="2"/>
  <c r="L244" i="2"/>
  <c r="D241" i="2"/>
  <c r="E241" i="2"/>
  <c r="F241" i="2"/>
  <c r="D242" i="2"/>
  <c r="E242" i="2"/>
  <c r="F242" i="2"/>
  <c r="D243" i="2"/>
  <c r="E243" i="2"/>
  <c r="F243" i="2"/>
  <c r="D240" i="2"/>
  <c r="E240" i="2"/>
  <c r="F240" i="2"/>
  <c r="D239" i="2"/>
  <c r="E239" i="2"/>
  <c r="F239" i="2"/>
  <c r="D244" i="2"/>
  <c r="E244" i="2"/>
  <c r="F244" i="2"/>
  <c r="L238" i="2" l="1"/>
  <c r="D238" i="2"/>
  <c r="E238" i="2"/>
  <c r="F238" i="2"/>
  <c r="L237" i="2"/>
  <c r="D237" i="2"/>
  <c r="E237" i="2"/>
  <c r="F237" i="2"/>
  <c r="L233" i="2"/>
  <c r="L236" i="2"/>
  <c r="L234" i="2"/>
  <c r="L235" i="2"/>
  <c r="D236" i="2"/>
  <c r="E236" i="2"/>
  <c r="F236" i="2"/>
  <c r="D234" i="2"/>
  <c r="E234" i="2"/>
  <c r="F234" i="2"/>
  <c r="D235" i="2"/>
  <c r="E235" i="2"/>
  <c r="F235" i="2"/>
  <c r="D233" i="2"/>
  <c r="E233" i="2"/>
  <c r="F233" i="2"/>
  <c r="L232" i="2"/>
  <c r="D232" i="2"/>
  <c r="E232" i="2"/>
  <c r="F232" i="2"/>
  <c r="L231" i="2"/>
  <c r="D231" i="2"/>
  <c r="E231" i="2"/>
  <c r="F231" i="2"/>
  <c r="L230" i="2"/>
  <c r="D230" i="2"/>
  <c r="E230" i="2"/>
  <c r="F230" i="2"/>
  <c r="L229" i="2"/>
  <c r="D229" i="2"/>
  <c r="E229" i="2"/>
  <c r="F229" i="2"/>
  <c r="L228" i="2"/>
  <c r="D228" i="2"/>
  <c r="E228" i="2"/>
  <c r="F228" i="2"/>
  <c r="L227" i="2"/>
  <c r="D227" i="2"/>
  <c r="E227" i="2"/>
  <c r="F227" i="2"/>
  <c r="L222" i="2"/>
  <c r="L223" i="2"/>
  <c r="L225" i="2"/>
  <c r="L226" i="2"/>
  <c r="L224" i="2"/>
  <c r="D224" i="2"/>
  <c r="E224" i="2"/>
  <c r="F224" i="2"/>
  <c r="F226" i="2"/>
  <c r="E226" i="2"/>
  <c r="D226" i="2"/>
  <c r="D225" i="2"/>
  <c r="E225" i="2"/>
  <c r="F225" i="2"/>
  <c r="D223" i="2"/>
  <c r="E223" i="2"/>
  <c r="F223" i="2"/>
  <c r="D222" i="2"/>
  <c r="E222" i="2"/>
  <c r="F222" i="2"/>
  <c r="L221" i="2"/>
  <c r="D221" i="2"/>
  <c r="E221" i="2"/>
  <c r="F221" i="2"/>
  <c r="L216" i="2"/>
  <c r="L217" i="2"/>
  <c r="L218" i="2"/>
  <c r="L219" i="2"/>
  <c r="L220" i="2"/>
  <c r="D220" i="2"/>
  <c r="E220" i="2"/>
  <c r="F220" i="2"/>
  <c r="D218" i="2"/>
  <c r="D219" i="2"/>
  <c r="E219" i="2"/>
  <c r="F219" i="2"/>
  <c r="D217" i="2"/>
  <c r="E217" i="2"/>
  <c r="F217" i="2"/>
  <c r="E218" i="2"/>
  <c r="F218" i="2"/>
  <c r="L214" i="2"/>
  <c r="L215" i="2"/>
  <c r="F216" i="2"/>
  <c r="E216" i="2"/>
  <c r="D216" i="2"/>
  <c r="D215" i="2" l="1"/>
  <c r="E215" i="2"/>
  <c r="F215" i="2"/>
  <c r="D214" i="2"/>
  <c r="E214" i="2"/>
  <c r="F214" i="2"/>
  <c r="L211" i="2"/>
  <c r="L212" i="2"/>
  <c r="L213" i="2"/>
  <c r="D212" i="2"/>
  <c r="E213" i="2"/>
  <c r="F213" i="2"/>
  <c r="E212" i="2"/>
  <c r="F212" i="2"/>
  <c r="F211" i="2"/>
  <c r="E211" i="2"/>
  <c r="D211" i="2"/>
  <c r="L202" i="2"/>
  <c r="L205" i="2"/>
  <c r="D210" i="2"/>
  <c r="E210" i="2"/>
  <c r="F210" i="2"/>
  <c r="D209" i="2"/>
  <c r="E209" i="2"/>
  <c r="F209" i="2"/>
  <c r="D208" i="2"/>
  <c r="E208" i="2"/>
  <c r="F208" i="2"/>
  <c r="L207" i="2"/>
  <c r="L206" i="2"/>
  <c r="L208" i="2"/>
  <c r="L209" i="2"/>
  <c r="L210" i="2"/>
  <c r="D206" i="2"/>
  <c r="E206" i="2"/>
  <c r="F206" i="2"/>
  <c r="D207" i="2"/>
  <c r="E207" i="2"/>
  <c r="F207" i="2"/>
  <c r="D205" i="2"/>
  <c r="E205" i="2"/>
  <c r="F205" i="2"/>
  <c r="L198" i="2"/>
  <c r="L199" i="2"/>
  <c r="L200" i="2"/>
  <c r="L201" i="2"/>
  <c r="L203" i="2"/>
  <c r="L204" i="2"/>
  <c r="D202" i="2"/>
  <c r="E202" i="2"/>
  <c r="F202" i="2"/>
  <c r="D204" i="2"/>
  <c r="E204" i="2"/>
  <c r="F204" i="2"/>
  <c r="E203" i="2"/>
  <c r="F203" i="2"/>
  <c r="D203" i="2"/>
  <c r="D201" i="2"/>
  <c r="E201" i="2"/>
  <c r="F201" i="2"/>
  <c r="D200" i="2"/>
  <c r="E200" i="2"/>
  <c r="F200" i="2"/>
  <c r="D199" i="2"/>
  <c r="E199" i="2"/>
  <c r="F199" i="2"/>
  <c r="D198" i="2"/>
  <c r="E198" i="2"/>
  <c r="F198"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E195" i="2"/>
  <c r="L195" i="2"/>
  <c r="L196" i="2"/>
  <c r="L19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6" i="2"/>
  <c r="E197" i="2"/>
  <c r="D197"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L190" i="2" l="1"/>
  <c r="L194" i="2"/>
  <c r="L191" i="2"/>
  <c r="L192" i="2"/>
  <c r="L193" i="2"/>
  <c r="L185" i="2"/>
  <c r="L189" i="2"/>
  <c r="L183" i="2"/>
  <c r="L184" i="2"/>
  <c r="L188" i="2"/>
  <c r="L187" i="2"/>
  <c r="L186" i="2"/>
  <c r="L178" i="2"/>
  <c r="L180" i="2"/>
  <c r="L181" i="2"/>
  <c r="L182" i="2"/>
  <c r="L177" i="2"/>
  <c r="L179" i="2"/>
  <c r="L175" i="2"/>
  <c r="L176" i="2"/>
  <c r="L171" i="2"/>
  <c r="L172" i="2"/>
  <c r="L173" i="2"/>
  <c r="L174" i="2"/>
  <c r="L170" i="2" l="1"/>
  <c r="L169" i="2"/>
  <c r="L168" i="2"/>
  <c r="L167" i="2"/>
  <c r="L166" i="2"/>
  <c r="L163" i="2"/>
  <c r="L165" i="2"/>
  <c r="L164" i="2"/>
  <c r="L161" i="2"/>
  <c r="L162" i="2"/>
  <c r="L157" i="2"/>
  <c r="L158" i="2"/>
  <c r="L159" i="2"/>
  <c r="L160" i="2"/>
  <c r="L153" i="2"/>
  <c r="L154" i="2"/>
  <c r="L155" i="2"/>
  <c r="L156" i="2"/>
  <c r="L152" i="2"/>
  <c r="L151" i="2"/>
  <c r="L150" i="2"/>
  <c r="L149" i="2"/>
  <c r="L147" i="2"/>
  <c r="L148" i="2"/>
  <c r="L145" i="2"/>
  <c r="L146" i="2"/>
  <c r="L143" i="2" l="1"/>
  <c r="L144" i="2"/>
  <c r="L141" i="2"/>
  <c r="L142" i="2"/>
  <c r="L135" i="2" l="1"/>
  <c r="L136" i="2"/>
  <c r="L137" i="2"/>
  <c r="L138" i="2"/>
  <c r="L139" i="2"/>
  <c r="L140" i="2"/>
  <c r="L129" i="2"/>
  <c r="L130" i="2"/>
  <c r="L131" i="2"/>
  <c r="L132" i="2"/>
  <c r="L134" i="2"/>
  <c r="L133" i="2"/>
  <c r="L101" i="2" l="1"/>
  <c r="L85" i="2" l="1"/>
  <c r="L79" i="2"/>
  <c r="L72" i="2"/>
  <c r="F17" i="9" l="1"/>
  <c r="E17" i="9"/>
  <c r="L69" i="2" l="1"/>
  <c r="L2" i="2"/>
  <c r="L3" i="2"/>
  <c r="L4" i="2"/>
  <c r="L5" i="2"/>
  <c r="L6" i="2"/>
  <c r="L7" i="2"/>
  <c r="L8" i="2"/>
  <c r="L9" i="2"/>
  <c r="L10" i="2"/>
  <c r="L11" i="2"/>
  <c r="L12" i="2"/>
  <c r="L13" i="2"/>
  <c r="L14" i="2"/>
  <c r="L15" i="2"/>
  <c r="L16" i="2"/>
  <c r="L17" i="2"/>
  <c r="L18" i="2"/>
  <c r="L19" i="2"/>
  <c r="L20" i="2"/>
  <c r="L21" i="2"/>
  <c r="L22" i="2"/>
  <c r="L23" i="2"/>
  <c r="L24" i="2"/>
  <c r="L25" i="2"/>
  <c r="L26" i="2"/>
  <c r="L27" i="2"/>
  <c r="L28" i="2"/>
  <c r="L49" i="2" l="1"/>
  <c r="L50" i="2"/>
  <c r="L51" i="2"/>
  <c r="L53" i="2"/>
  <c r="L41" i="2"/>
  <c r="L35" i="2"/>
  <c r="L36" i="2"/>
  <c r="L30" i="2"/>
  <c r="L31" i="2"/>
  <c r="L32" i="2"/>
  <c r="L29" i="2"/>
  <c r="L33" i="2"/>
  <c r="L34" i="2"/>
  <c r="L37" i="2"/>
  <c r="L38" i="2"/>
  <c r="L39" i="2"/>
  <c r="L40" i="2"/>
  <c r="L42" i="2"/>
  <c r="L43" i="2"/>
  <c r="L44" i="2"/>
  <c r="L45" i="2"/>
  <c r="L46" i="2"/>
  <c r="L47" i="2"/>
  <c r="L48" i="2"/>
  <c r="L54" i="2"/>
  <c r="L56" i="2"/>
  <c r="L57" i="2"/>
  <c r="L58" i="2"/>
  <c r="L61" i="2"/>
  <c r="L59" i="2"/>
  <c r="L60" i="2"/>
  <c r="L62" i="2"/>
  <c r="L64" i="2"/>
  <c r="L67" i="2"/>
  <c r="L65" i="2"/>
  <c r="L66" i="2"/>
  <c r="L63" i="2"/>
  <c r="L73" i="2"/>
  <c r="L74" i="2"/>
  <c r="L80" i="2"/>
  <c r="L82" i="2"/>
  <c r="L81" i="2"/>
  <c r="L83" i="2"/>
  <c r="L84" i="2"/>
  <c r="L86" i="2"/>
  <c r="L87" i="2"/>
  <c r="L88" i="2"/>
  <c r="L89" i="2"/>
  <c r="L52" i="2"/>
  <c r="L55" i="2"/>
  <c r="L68" i="2"/>
  <c r="L70" i="2"/>
  <c r="L71" i="2"/>
  <c r="L75" i="2"/>
  <c r="L76" i="2"/>
  <c r="L77" i="2"/>
  <c r="L78" i="2"/>
  <c r="L92" i="2"/>
  <c r="L91" i="2"/>
  <c r="L93" i="2"/>
  <c r="L96" i="2"/>
  <c r="L94" i="2"/>
  <c r="L95" i="2"/>
  <c r="L97" i="2"/>
  <c r="L98" i="2"/>
  <c r="L99" i="2"/>
  <c r="L100" i="2"/>
  <c r="L102" i="2"/>
  <c r="L103" i="2"/>
  <c r="L104" i="2"/>
  <c r="L105" i="2"/>
  <c r="L107" i="2"/>
  <c r="L106" i="2"/>
  <c r="L108" i="2"/>
  <c r="L109" i="2"/>
  <c r="L110" i="2"/>
  <c r="L111" i="2"/>
  <c r="L112" i="2"/>
  <c r="L113" i="2"/>
  <c r="L114" i="2"/>
  <c r="L116" i="2"/>
  <c r="L117" i="2"/>
  <c r="L115" i="2"/>
  <c r="L118" i="2"/>
  <c r="L119" i="2"/>
  <c r="L120" i="2"/>
  <c r="L121" i="2"/>
  <c r="L122" i="2"/>
  <c r="L124" i="2"/>
  <c r="L123" i="2"/>
  <c r="L125" i="2"/>
  <c r="L126" i="2"/>
  <c r="L127" i="2"/>
  <c r="L128" i="2"/>
  <c r="K791" i="1" l="1"/>
  <c r="K792" i="1"/>
  <c r="K793" i="1"/>
  <c r="K794" i="1"/>
  <c r="K805" i="1"/>
  <c r="K801" i="1"/>
  <c r="K802" i="1"/>
  <c r="K803" i="1"/>
  <c r="K804" i="1"/>
  <c r="K795" i="1"/>
  <c r="K796" i="1"/>
  <c r="K797" i="1"/>
  <c r="K798" i="1"/>
  <c r="K799" i="1"/>
  <c r="K800" i="1"/>
  <c r="K784" i="1"/>
  <c r="K785" i="1"/>
  <c r="K786" i="1"/>
  <c r="K787" i="1"/>
  <c r="K788" i="1"/>
  <c r="K789" i="1"/>
  <c r="K790" i="1"/>
  <c r="K779" i="1" l="1"/>
  <c r="K780" i="1"/>
  <c r="K781" i="1"/>
  <c r="K782" i="1"/>
  <c r="K783" i="1"/>
  <c r="K775" i="1"/>
  <c r="K776" i="1"/>
  <c r="K777" i="1"/>
  <c r="K778" i="1"/>
  <c r="K774" i="1"/>
  <c r="K769" i="1"/>
  <c r="K770" i="1"/>
  <c r="K771" i="1"/>
  <c r="K772" i="1"/>
  <c r="K773" i="1"/>
  <c r="K767" i="1"/>
  <c r="K768" i="1"/>
  <c r="K761" i="1"/>
  <c r="K729" i="1"/>
  <c r="K766" i="1"/>
  <c r="K762" i="1"/>
  <c r="K763" i="1"/>
  <c r="K764" i="1"/>
  <c r="K765" i="1"/>
  <c r="K760" i="1"/>
  <c r="K758" i="1"/>
  <c r="K759" i="1"/>
  <c r="K756" i="1"/>
  <c r="K757" i="1"/>
  <c r="K755" i="1"/>
  <c r="K750" i="1"/>
  <c r="K751" i="1"/>
  <c r="K752" i="1"/>
  <c r="K753" i="1"/>
  <c r="K754" i="1"/>
  <c r="K742" i="1"/>
  <c r="K743" i="1"/>
  <c r="K744" i="1"/>
  <c r="K745" i="1"/>
  <c r="K746" i="1"/>
  <c r="K747" i="1"/>
  <c r="K748" i="1"/>
  <c r="K749" i="1"/>
  <c r="K732" i="1"/>
  <c r="K733" i="1"/>
  <c r="K734" i="1"/>
  <c r="K735" i="1"/>
  <c r="K736" i="1"/>
  <c r="K737" i="1"/>
  <c r="K738" i="1"/>
  <c r="K739" i="1"/>
  <c r="K740" i="1"/>
  <c r="K741" i="1"/>
  <c r="K730" i="1"/>
  <c r="K731" i="1"/>
  <c r="K676" i="1"/>
  <c r="K574" i="1"/>
  <c r="K662"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728" i="1"/>
  <c r="K725" i="1"/>
  <c r="K726" i="1"/>
  <c r="K727" i="1"/>
  <c r="K724" i="1"/>
  <c r="K716" i="1"/>
  <c r="K717" i="1"/>
  <c r="K718" i="1"/>
  <c r="K719" i="1"/>
  <c r="K720" i="1"/>
  <c r="K721" i="1"/>
  <c r="K722" i="1"/>
  <c r="K723" i="1"/>
  <c r="K715" i="1"/>
  <c r="K713" i="1"/>
  <c r="K714" i="1"/>
  <c r="K708" i="1"/>
  <c r="K709" i="1"/>
  <c r="K710" i="1"/>
  <c r="K711" i="1"/>
  <c r="K712" i="1"/>
  <c r="K701" i="1"/>
  <c r="K702" i="1"/>
  <c r="K703" i="1"/>
  <c r="K704" i="1"/>
  <c r="K705" i="1"/>
  <c r="K706" i="1"/>
  <c r="K707" i="1"/>
  <c r="K694" i="1"/>
  <c r="K695" i="1"/>
  <c r="K696" i="1"/>
  <c r="K697" i="1"/>
  <c r="K698" i="1"/>
  <c r="K699" i="1"/>
  <c r="K700" i="1"/>
  <c r="K687" i="1"/>
  <c r="K688" i="1"/>
  <c r="K689" i="1"/>
  <c r="K690" i="1"/>
  <c r="K691" i="1"/>
  <c r="K692" i="1"/>
  <c r="K693" i="1"/>
  <c r="K680" i="1"/>
  <c r="K681" i="1"/>
  <c r="K682" i="1"/>
  <c r="K683" i="1"/>
  <c r="K684" i="1"/>
  <c r="K685" i="1"/>
  <c r="K686" i="1"/>
  <c r="K663" i="1"/>
  <c r="K664" i="1"/>
  <c r="K665" i="1"/>
  <c r="K666" i="1"/>
  <c r="K667" i="1"/>
  <c r="K668" i="1"/>
  <c r="K669" i="1"/>
  <c r="K670" i="1"/>
  <c r="K671" i="1"/>
  <c r="K672" i="1"/>
  <c r="K673" i="1"/>
  <c r="K674" i="1"/>
  <c r="K675" i="1"/>
  <c r="K677" i="1"/>
  <c r="K678" i="1"/>
  <c r="K679" i="1"/>
  <c r="K626" i="1"/>
  <c r="K624" i="1"/>
  <c r="K625" i="1"/>
  <c r="K623" i="1"/>
  <c r="K621" i="1"/>
  <c r="K622" i="1"/>
  <c r="K620" i="1"/>
  <c r="K619" i="1"/>
  <c r="K615" i="1"/>
  <c r="K616" i="1"/>
  <c r="K617" i="1"/>
  <c r="K618" i="1"/>
  <c r="K614" i="1"/>
  <c r="K607" i="1"/>
  <c r="K608" i="1"/>
  <c r="K609" i="1"/>
  <c r="K610" i="1"/>
  <c r="K611" i="1"/>
  <c r="K612" i="1"/>
  <c r="K613" i="1"/>
  <c r="K600" i="1"/>
  <c r="K601" i="1"/>
  <c r="K602" i="1"/>
  <c r="K603" i="1"/>
  <c r="K604" i="1"/>
  <c r="K605" i="1"/>
  <c r="K606" i="1"/>
  <c r="K599" i="1"/>
  <c r="K591" i="1"/>
  <c r="K592" i="1"/>
  <c r="K593" i="1"/>
  <c r="K594" i="1"/>
  <c r="K595" i="1"/>
  <c r="K596" i="1"/>
  <c r="K597" i="1"/>
  <c r="K598" i="1"/>
  <c r="K589" i="1"/>
  <c r="K590" i="1"/>
  <c r="K586" i="1"/>
  <c r="K587" i="1"/>
  <c r="K588" i="1"/>
  <c r="K575" i="1"/>
  <c r="K576" i="1"/>
  <c r="K577" i="1"/>
  <c r="K578" i="1"/>
  <c r="K579" i="1"/>
  <c r="K580" i="1"/>
  <c r="K581" i="1"/>
  <c r="K582" i="1"/>
  <c r="K583" i="1"/>
  <c r="K584" i="1"/>
  <c r="K585" i="1"/>
  <c r="K568" i="1"/>
  <c r="K569" i="1"/>
  <c r="K570" i="1"/>
  <c r="K571" i="1"/>
  <c r="K572" i="1"/>
  <c r="K573" i="1"/>
  <c r="K563" i="1"/>
  <c r="K564" i="1"/>
  <c r="K565" i="1"/>
  <c r="K566" i="1"/>
  <c r="K567" i="1"/>
  <c r="K560" i="1"/>
  <c r="K561" i="1"/>
  <c r="K562" i="1"/>
  <c r="K550" i="1"/>
  <c r="K551" i="1"/>
  <c r="K552" i="1"/>
  <c r="K553" i="1"/>
  <c r="K554" i="1"/>
  <c r="K555" i="1"/>
  <c r="K556" i="1"/>
  <c r="K557" i="1"/>
  <c r="K558" i="1"/>
  <c r="K559" i="1"/>
  <c r="K545" i="1"/>
  <c r="K546" i="1"/>
  <c r="K547" i="1"/>
  <c r="K548" i="1"/>
  <c r="K549" i="1"/>
  <c r="K537" i="1"/>
  <c r="K540" i="1"/>
  <c r="K541" i="1"/>
  <c r="K542" i="1"/>
  <c r="K543" i="1"/>
  <c r="K544" i="1"/>
  <c r="K536" i="1" l="1"/>
  <c r="K538" i="1"/>
  <c r="K539" i="1"/>
  <c r="K520" i="1"/>
  <c r="K521" i="1"/>
  <c r="K522" i="1"/>
  <c r="K523" i="1"/>
  <c r="K524" i="1"/>
  <c r="K525" i="1"/>
  <c r="K526" i="1"/>
  <c r="K527" i="1"/>
  <c r="K528" i="1"/>
  <c r="K529" i="1"/>
  <c r="K530" i="1"/>
  <c r="K531" i="1"/>
  <c r="K532" i="1"/>
  <c r="K533" i="1"/>
  <c r="K534" i="1"/>
  <c r="K535" i="1"/>
  <c r="K517" i="1"/>
  <c r="K518" i="1"/>
  <c r="K519" i="1"/>
  <c r="K516" i="1"/>
  <c r="K513" i="1"/>
  <c r="K514" i="1"/>
  <c r="K515" i="1"/>
  <c r="K512" i="1"/>
  <c r="K508" i="1"/>
  <c r="K509" i="1"/>
  <c r="K510" i="1"/>
  <c r="K511" i="1"/>
  <c r="K506" i="1"/>
  <c r="K507" i="1"/>
  <c r="K502" i="1"/>
  <c r="K503" i="1"/>
  <c r="K504" i="1"/>
  <c r="K505" i="1"/>
  <c r="K497" i="1"/>
  <c r="K498" i="1"/>
  <c r="K499" i="1"/>
  <c r="K500" i="1"/>
  <c r="K501" i="1"/>
  <c r="K474" i="1"/>
  <c r="K475" i="1"/>
  <c r="K476" i="1"/>
  <c r="K477" i="1"/>
  <c r="K478" i="1"/>
  <c r="K479" i="1"/>
  <c r="K480" i="1"/>
  <c r="K481" i="1"/>
  <c r="K482" i="1"/>
  <c r="K483" i="1"/>
  <c r="K484" i="1"/>
  <c r="K485" i="1"/>
  <c r="K486" i="1"/>
  <c r="K487" i="1"/>
  <c r="K488" i="1"/>
  <c r="K489" i="1"/>
  <c r="K490" i="1"/>
  <c r="K491" i="1"/>
  <c r="K492" i="1"/>
  <c r="K493" i="1"/>
  <c r="K494" i="1"/>
  <c r="K495" i="1"/>
  <c r="K496" i="1"/>
  <c r="K412" i="1"/>
  <c r="K417" i="1"/>
  <c r="K426" i="1"/>
  <c r="K457" i="1"/>
  <c r="K473" i="1"/>
  <c r="K405" i="1"/>
  <c r="K406" i="1"/>
  <c r="K407" i="1"/>
  <c r="K408" i="1"/>
  <c r="K409" i="1"/>
  <c r="K410" i="1"/>
  <c r="K411" i="1"/>
  <c r="K413" i="1"/>
  <c r="K414" i="1"/>
  <c r="K415" i="1"/>
  <c r="K416" i="1"/>
  <c r="K418" i="1"/>
  <c r="K419" i="1"/>
  <c r="K420" i="1"/>
  <c r="K421" i="1"/>
  <c r="K422" i="1"/>
  <c r="K423" i="1"/>
  <c r="K424" i="1"/>
  <c r="K425"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8" i="1"/>
  <c r="K459" i="1"/>
  <c r="K460" i="1"/>
  <c r="K461" i="1"/>
  <c r="K462" i="1"/>
  <c r="K463" i="1"/>
  <c r="K464" i="1"/>
  <c r="K465" i="1"/>
  <c r="K466" i="1"/>
  <c r="K467" i="1"/>
  <c r="K468" i="1"/>
  <c r="K469" i="1"/>
  <c r="K470" i="1"/>
  <c r="K471" i="1"/>
  <c r="K472" i="1"/>
  <c r="K404" i="1"/>
  <c r="K397" i="1"/>
  <c r="K398" i="1"/>
  <c r="K399" i="1"/>
  <c r="K400" i="1"/>
  <c r="K401" i="1"/>
  <c r="K402" i="1"/>
  <c r="K403" i="1"/>
  <c r="K392" i="1"/>
  <c r="K393" i="1"/>
  <c r="K394" i="1"/>
  <c r="K395" i="1"/>
  <c r="K396"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4" i="1"/>
  <c r="K3"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7C2A9-6D87-4389-BC44-685D947302BA}"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02EBD6F-3ECB-4793-A852-345D4FBB50C7}" name="WorksheetConnection_[Servicios CMPC_planillamaestra.xlsx]DATOS!$B$6:$G$182" type="102" refreshedVersion="8" minRefreshableVersion="5">
    <extLst>
      <ext xmlns:x15="http://schemas.microsoft.com/office/spreadsheetml/2010/11/main" uri="{DE250136-89BD-433C-8126-D09CA5730AF9}">
        <x15:connection id="Rango 1" autoDelete="1">
          <x15:rangePr sourceName="_xlcn.WorksheetConnection_ServiciosCMPC_planillamaestra.xlsxDATOSB6G1821"/>
        </x15:connection>
      </ext>
    </extLst>
  </connection>
  <connection id="3" xr16:uid="{03AAC1BC-0264-4066-A3F5-6EAB08DB86B3}" name="WorksheetConnection_2025!$A$1:$M$1000" type="102" refreshedVersion="8" minRefreshableVersion="5">
    <extLst>
      <ext xmlns:x15="http://schemas.microsoft.com/office/spreadsheetml/2010/11/main" uri="{DE250136-89BD-433C-8126-D09CA5730AF9}">
        <x15:connection id="Rango" autoDelete="1">
          <x15:rangePr sourceName="_xlcn.WorksheetConnection_2025A1M10001"/>
        </x15:connection>
      </ext>
    </extLst>
  </connection>
</connections>
</file>

<file path=xl/sharedStrings.xml><?xml version="1.0" encoding="utf-8"?>
<sst xmlns="http://schemas.openxmlformats.org/spreadsheetml/2006/main" count="6427" uniqueCount="1258">
  <si>
    <t>Fecha de Inicio</t>
  </si>
  <si>
    <t>Cod. Servicio</t>
  </si>
  <si>
    <t>Sitio</t>
  </si>
  <si>
    <t>Fecha de Solución</t>
  </si>
  <si>
    <t>Sin incidencia</t>
  </si>
  <si>
    <t>Observación - Causa</t>
  </si>
  <si>
    <t>Caída de enlace</t>
  </si>
  <si>
    <t>Resposabilidad</t>
  </si>
  <si>
    <t>Negocio</t>
  </si>
  <si>
    <t>Celulosa</t>
  </si>
  <si>
    <t>Biopackaging</t>
  </si>
  <si>
    <t>Formin Capitan Pastene</t>
  </si>
  <si>
    <t>Adyacencia de BGP hacia la MPLS, enlace levanta sin intervención</t>
  </si>
  <si>
    <t>Cliente</t>
  </si>
  <si>
    <t>Entel</t>
  </si>
  <si>
    <t>Fundación Parque Alessandri</t>
  </si>
  <si>
    <t>Terceros LM</t>
  </si>
  <si>
    <t>Fundación</t>
  </si>
  <si>
    <t>Cartulinas Cerrillos</t>
  </si>
  <si>
    <t>Maderas Plywood</t>
  </si>
  <si>
    <t>INC000006140331</t>
  </si>
  <si>
    <t>C. Pinares San Pedro Internet</t>
  </si>
  <si>
    <t>INC000006127556</t>
  </si>
  <si>
    <t>Sorepa Puerto Montt</t>
  </si>
  <si>
    <t>Falla de red 6129528. Corte de FO por trabajos viales</t>
  </si>
  <si>
    <t>INC000006130992</t>
  </si>
  <si>
    <t>Portuaria Central Lirquen</t>
  </si>
  <si>
    <t>Falla de red 6132028. Sitio de Entel afectado por corte eléctrico</t>
  </si>
  <si>
    <t>Router restablece tras uptime de energía</t>
  </si>
  <si>
    <t>Falla de red 6141669. Corte de fo en Maipu</t>
  </si>
  <si>
    <t>INC000006142014</t>
  </si>
  <si>
    <t>Servicio restablece sin intervención técnica</t>
  </si>
  <si>
    <t>Cartulinas Maule</t>
  </si>
  <si>
    <t>INC000006143713</t>
  </si>
  <si>
    <t>Falla de red 6124891. Falla eléctrica en sitio de Entel</t>
  </si>
  <si>
    <t>INC000006144914</t>
  </si>
  <si>
    <t>Falla eléctrica en dependencias de cliente</t>
  </si>
  <si>
    <t>Formin Cañete</t>
  </si>
  <si>
    <t>Intermitencia</t>
  </si>
  <si>
    <t>Adyacencia de BGP hacia la mpls, sin eventos registrados en la red de Entel, enlace operativo sin intervención</t>
  </si>
  <si>
    <t>INC000006175347</t>
  </si>
  <si>
    <t>Celulosa Laja Respaldo</t>
  </si>
  <si>
    <t>Router restablece tras uptime por energía</t>
  </si>
  <si>
    <t>INC000006174467</t>
  </si>
  <si>
    <t>Terceros Serfoval</t>
  </si>
  <si>
    <t>Terceros</t>
  </si>
  <si>
    <t>INC000006180162</t>
  </si>
  <si>
    <t xml:space="preserve">Falla de red 6180902. Caída de troncal entre PE y NODO de acceso a causa de jumper dañado </t>
  </si>
  <si>
    <t>INC000006180164</t>
  </si>
  <si>
    <t>Eira Bodega Lo Espejo</t>
  </si>
  <si>
    <t>Sorepa Temuco</t>
  </si>
  <si>
    <t>Caída de UPS</t>
  </si>
  <si>
    <t>Se conversa con encargado Daniel Morales quien señala que sucursal está presentando bajas de voltaje</t>
  </si>
  <si>
    <t>UPS desconectada por trabajos de cliente en tablero eléctrico</t>
  </si>
  <si>
    <t>Falla de red 6186143. Se repara corte de FO a 548mts. desde URA Maipú</t>
  </si>
  <si>
    <t>INC000006184199</t>
  </si>
  <si>
    <t>Chimolsa Puente Alto</t>
  </si>
  <si>
    <t>UPS en modo Bypass</t>
  </si>
  <si>
    <t>Se asiste a cliente y se configura ups de modo bypass a online</t>
  </si>
  <si>
    <t>Enlace presenta constantes caídas de protocolo BGP hacia la MPLS, se mantendrá servicio en observación durante la mañana, ya que, ha permanecido estable</t>
  </si>
  <si>
    <t>Router restablece tras uptime de energía.</t>
  </si>
  <si>
    <t>Sorepa Chillan</t>
  </si>
  <si>
    <t>Maderas Mulchen</t>
  </si>
  <si>
    <t>Caída de interfaz troncal entre nodos de la MPLS</t>
  </si>
  <si>
    <t>EIRA Osorno</t>
  </si>
  <si>
    <t>Caída de interfaz que interconecta hacia Sw Core. En switch se aprecia caída de BGP hacia ambos enlaces</t>
  </si>
  <si>
    <t>INC000006203573</t>
  </si>
  <si>
    <t>Formin Angol</t>
  </si>
  <si>
    <t>Regularizar instalación</t>
  </si>
  <si>
    <t>Falla de red 6203851. Caída de troncal entre nodos mpls</t>
  </si>
  <si>
    <t>Portuaria San Vicente</t>
  </si>
  <si>
    <t>Tras revisión se detecta que existió saturación en troncal desde PE hacia nodo MPLS, lo que provocó la intermitencia</t>
  </si>
  <si>
    <t>Edipac Concepción</t>
  </si>
  <si>
    <t>Afectado por TP 1457330. Upgrade de software a nodo PE5-CONCE</t>
  </si>
  <si>
    <t>DC Telsur Internet</t>
  </si>
  <si>
    <t>Sorepa Concepción</t>
  </si>
  <si>
    <t>Formin Concepción</t>
  </si>
  <si>
    <t>UPS Maderas Plywood</t>
  </si>
  <si>
    <t>Adyacencia de BGP hacia switch core de Orange</t>
  </si>
  <si>
    <t>Se asiste a terreno regularizando cableado instalado por Entel tras estiramiento de cable de FO causado por camión con carga alta, recibe conforme Helia Cuevas</t>
  </si>
  <si>
    <t>INC000006217729</t>
  </si>
  <si>
    <t>Router de Caseta presenta Uptime por energía</t>
  </si>
  <si>
    <t>UPS Cartulinas Valdivia</t>
  </si>
  <si>
    <t>Falla de red 6221324. Se repara corte de FO en mufa dañada</t>
  </si>
  <si>
    <t>Caída de interfaz de acceso en nodo mpls. No se registran fallas de red ni trabajos programados</t>
  </si>
  <si>
    <t>INC000006233913</t>
  </si>
  <si>
    <t>Sorepa Antofagasta</t>
  </si>
  <si>
    <t>Falla de red 6239383. Corte de cable por paso de camión, se realiza tendid de 300mts. de cable de 24 FO</t>
  </si>
  <si>
    <t>INC000006235612</t>
  </si>
  <si>
    <t>Softys Lo Echevers</t>
  </si>
  <si>
    <t>Degradación</t>
  </si>
  <si>
    <t>Falla de red 6238567. Se repara corte de FO, normalizando troncal entre nodos de acceso</t>
  </si>
  <si>
    <t>C. Cultura Nacimiento Internet</t>
  </si>
  <si>
    <t>C. Huespedes La Cruz Internet</t>
  </si>
  <si>
    <t>INC000006240757</t>
  </si>
  <si>
    <t>Sorepa Pudahuel</t>
  </si>
  <si>
    <t>INC000006243548</t>
  </si>
  <si>
    <t>Caída de enlace e Intermitencias</t>
  </si>
  <si>
    <t>Falla de red 6243659. Corte eléctrico en la zona afecta a sitio de Entel, se respalda sitio con GG y se está a la espera de reposición por parte de empresa eléctrica</t>
  </si>
  <si>
    <t>INC000006243741</t>
  </si>
  <si>
    <t>Celulosa Laja Principal</t>
  </si>
  <si>
    <t>Nodo de acceso MPLS presenta uptime de energía</t>
  </si>
  <si>
    <t>Edipac Quilicura</t>
  </si>
  <si>
    <t>Sorepa Chillán</t>
  </si>
  <si>
    <t>Softys</t>
  </si>
  <si>
    <t>Falla de red 6242488. Corte de FO en Maipu, se continúa trabajando en la reparación del servicio</t>
  </si>
  <si>
    <t>INC000006247171</t>
  </si>
  <si>
    <t>Softys Lo Echevers CD</t>
  </si>
  <si>
    <t>Falla de red 6248726. Falla de energía en sitio ENEAS</t>
  </si>
  <si>
    <t>INC000006247785</t>
  </si>
  <si>
    <t xml:space="preserve">Falla de red 6249786. Nodo MPLS apagado. Se realiza limpieza y mantención al equipo y se energiza nuevamente </t>
  </si>
  <si>
    <t>INC000006249670</t>
  </si>
  <si>
    <t>Cartulinas Valdivia</t>
  </si>
  <si>
    <t>Router presenta adyacencia de BGP hacia la MPLS. No se registran fallas masivas ni trabajos programados que pudiesen haber afectado el servicio el cuál levanta sin intervención</t>
  </si>
  <si>
    <t>Enlace presenta constantes caídas de protocolo BGP hacia la MPLS. No se detectan problemas a nivel de red, enlace permanece estable sin presentar nuevas deconexiones</t>
  </si>
  <si>
    <t>INC000006265113</t>
  </si>
  <si>
    <t>Caída de interfaz Wan en nodo de acceso. Técnico asiste a R/E encontrando el servicio operativo al momento de ingresar, realiza revisión preventiva sin encontrar anomalías y señala posible falla por reiteradas intervenciones de planta externa en ODF.</t>
  </si>
  <si>
    <t>INC000006267723</t>
  </si>
  <si>
    <t>Caída de interfaz Wan en nodo de acceso. Enlace levanta sin intervención técnica.</t>
  </si>
  <si>
    <t>INC000006271129</t>
  </si>
  <si>
    <t>Maderas Coronel</t>
  </si>
  <si>
    <t>Equipos restablecen tras uptime por energía</t>
  </si>
  <si>
    <t>EIRA Til Til</t>
  </si>
  <si>
    <t>INC000006271861</t>
  </si>
  <si>
    <t>Papeles Cordillera</t>
  </si>
  <si>
    <t>Problemas con FO</t>
  </si>
  <si>
    <t>INC000006271985</t>
  </si>
  <si>
    <t>Celulosa Pacifico Principal</t>
  </si>
  <si>
    <t>Falla de red 6272372. Nodos de acceso MPLS sin conexión por problemas de energía</t>
  </si>
  <si>
    <t>INC000006272090</t>
  </si>
  <si>
    <t>INC000006274877</t>
  </si>
  <si>
    <t>Edipac Temuco</t>
  </si>
  <si>
    <t>UPS Terceros Serfoval</t>
  </si>
  <si>
    <t>INC000006275766</t>
  </si>
  <si>
    <t>Empresas</t>
  </si>
  <si>
    <t>Terceros MPLS Amunategui</t>
  </si>
  <si>
    <t>Problemas en puerta de acceso, técnico realiza cambio de conector y reset de tarjeta, servicio levanta sin problemas</t>
  </si>
  <si>
    <t>Acceso cortado por poda de árboles por parte de terceros, se repara acceso y servicio restablece sin problemas</t>
  </si>
  <si>
    <t>INC000006279653</t>
  </si>
  <si>
    <t>Falla de red 6281005. Corte de FO, se realiza empalme y se limpian conectores, servicio restablece sin problemas.</t>
  </si>
  <si>
    <t>INC000006285211</t>
  </si>
  <si>
    <t>Personal en terreno realiza revisión encontrando problemas en radio enlace que interconecta nodos MPLS</t>
  </si>
  <si>
    <t>Encargado de planta Daniel Morales indica que presentaron problemas eléctricos durante el fin de semana</t>
  </si>
  <si>
    <t>INC000006292779</t>
  </si>
  <si>
    <t>Sorepa San Joaquin</t>
  </si>
  <si>
    <t>INC000006293762</t>
  </si>
  <si>
    <t>Forsac Chillan Internet</t>
  </si>
  <si>
    <t>Forsac Chillan</t>
  </si>
  <si>
    <t>Caída de enalce</t>
  </si>
  <si>
    <t>Maderas Bucalemu</t>
  </si>
  <si>
    <t>Adyacencia de BGP hacia la MPLS, no se registran fallas de red ni trabajos programados. Enlace restablece sin intervención</t>
  </si>
  <si>
    <t>INC000006259398</t>
  </si>
  <si>
    <t>INC000006296644</t>
  </si>
  <si>
    <t>Sorepa Coquimbo</t>
  </si>
  <si>
    <t>Falla de red 6296920. Nodo MPLS sin conexión por falla de energía en Radio Estación de Entel</t>
  </si>
  <si>
    <t>Celulosa Charrua</t>
  </si>
  <si>
    <t>Falla de red 6297054. Nodo MPLS presenta reinicios por uptime de energía</t>
  </si>
  <si>
    <t>Radio Enlace radwin presenta intermitencia</t>
  </si>
  <si>
    <t>Se conversa con encargado Daniel Morales quien señala que sucursal presentó problemas eléctricos durante el fin de semana</t>
  </si>
  <si>
    <t>INC000006314548</t>
  </si>
  <si>
    <t>Celulosa Pacífico Principal</t>
  </si>
  <si>
    <t>Falla de red 6316155. Corte eléctrico en sitio de Entel</t>
  </si>
  <si>
    <t>INC000006315064</t>
  </si>
  <si>
    <t>INC000006315191</t>
  </si>
  <si>
    <t>Adyacencia de BGP hacia la MPLS, no se registran fallas de red ni trabajo que afecte al servicio. Enlace restablece sin intervención</t>
  </si>
  <si>
    <t>Vivero Carlos Douglas</t>
  </si>
  <si>
    <t>Router registra caída de interfaz Lan y Wan a la misma hora. No se registran eventos a nivel MPLS.</t>
  </si>
  <si>
    <t>Trabajo Programado por Parte de Entel TP1484627</t>
  </si>
  <si>
    <t>INC000006320099</t>
  </si>
  <si>
    <t>Falla de red 6320334. Corte eléctrico en Radio Estación de Entel</t>
  </si>
  <si>
    <t>UPS sin conexión</t>
  </si>
  <si>
    <t>Se conversa con encargado Wilfred Olivares quien señala que existen problemas eléctricos en la planta</t>
  </si>
  <si>
    <t>INC000006340902</t>
  </si>
  <si>
    <t>Falla de red 6341277. Nodo de acceso MPLS sin conexión</t>
  </si>
  <si>
    <t>INC000006352596</t>
  </si>
  <si>
    <t>INC000006354139</t>
  </si>
  <si>
    <t>Se asiste a terreno regularizando Output Status de la UPS</t>
  </si>
  <si>
    <t>Sorepa Rancagua La Cruz</t>
  </si>
  <si>
    <t>Intermitencia en Radio Enlace, servicio restablece sin intervención</t>
  </si>
  <si>
    <t>Maderas Clear</t>
  </si>
  <si>
    <t>Se conversa con encargado Luis Aguilera quien señala que existen problemas eléctricos en la planta</t>
  </si>
  <si>
    <t>INC000006366397</t>
  </si>
  <si>
    <t>Falla de red 6367199. Corte de FO en tramo Concepción - Curanilahue.</t>
  </si>
  <si>
    <t>Encagado de planta Cristian Herrera informa que se están realizando trabajos en tablero eléctrico</t>
  </si>
  <si>
    <t>INC000006368365</t>
  </si>
  <si>
    <t>Softys Puente Alto</t>
  </si>
  <si>
    <t>Servicio afectado por corte eléctrico en Puente Alto</t>
  </si>
  <si>
    <t>INC000006368375</t>
  </si>
  <si>
    <t>Falla de red 6372367. Saturación de troncal por corte de FO en tramos Concepció - Escuadron</t>
  </si>
  <si>
    <t>DC CDLV Stack 9300</t>
  </si>
  <si>
    <t>Caída de PortChannel 41</t>
  </si>
  <si>
    <t>Caída debido a trabajos programados de cliente</t>
  </si>
  <si>
    <t>DC AMUN Stack 9300</t>
  </si>
  <si>
    <t>INC000006382491</t>
  </si>
  <si>
    <t>Falla de red 6382982. Nodo de acceso mpls sin conexión debido a caída de troncal entre nodos</t>
  </si>
  <si>
    <t>Caída de troncal a nivel MPLS, restablece sin intervención</t>
  </si>
  <si>
    <t>INC000006387042</t>
  </si>
  <si>
    <t>Radio Enlace radwin presenta intermitencia, se solicitará revisión de radio enlace a personal de terreno para normalizar esta situación repetitiva</t>
  </si>
  <si>
    <t>Falla de red 6387869. Atenuación de FO en ENEAS, en revisión por parte de personal de planta externa</t>
  </si>
  <si>
    <t>Problemas eléctricos en dependencias de cliente</t>
  </si>
  <si>
    <t>INC000006393757</t>
  </si>
  <si>
    <t>INC000006395747</t>
  </si>
  <si>
    <t>Celulosa Santa Fe - Nacimiento</t>
  </si>
  <si>
    <t>Caída de conversor</t>
  </si>
  <si>
    <t>Falla de conversor tras falla eléctrica en cliente. Se realiza cambio de conversores en ambos extremos</t>
  </si>
  <si>
    <t>INC000006388502</t>
  </si>
  <si>
    <t>Intermitencia causada por revisión en terreno por parte de Entel</t>
  </si>
  <si>
    <t>Enlace restablece sin intervención, no se registran fallas de red ni trabajos programados</t>
  </si>
  <si>
    <t>Softys Talagante</t>
  </si>
  <si>
    <t>Intermitencia en troncal entre nodos en la MPLS de Entel</t>
  </si>
  <si>
    <t>Adyacencia de BGP hacia la MPLS de Entel, enlace levanta sin intervención. No se registran fallas de red ni trabajos programados</t>
  </si>
  <si>
    <t>INC000006406477</t>
  </si>
  <si>
    <t>Personal en terreno realiza reemplazo de módulo SFP atenuado en extremo R/E</t>
  </si>
  <si>
    <t>Se detecta caída de interfaz en nodo de acceso. No se registran falla masivas ni trabajos programados</t>
  </si>
  <si>
    <t>INC000006414827</t>
  </si>
  <si>
    <t>UPS con intermitencia</t>
  </si>
  <si>
    <t>Se detecta intermitencia en interfaz que conecta hacia el SW Core de Orange</t>
  </si>
  <si>
    <t>Formin Pitrufquen</t>
  </si>
  <si>
    <t>INC000006426334</t>
  </si>
  <si>
    <t>Caída de SW Core</t>
  </si>
  <si>
    <t>Caída de interfaces hacia enlaces principal y respaldo.</t>
  </si>
  <si>
    <t>INC000006428204</t>
  </si>
  <si>
    <t>Trabajos programados en dependencias de cliente</t>
  </si>
  <si>
    <t>Caída de interconexión entre DC</t>
  </si>
  <si>
    <t>DC AMU Stack 9300</t>
  </si>
  <si>
    <t>Caída de interfaz FO Oscura. Se presume falla en la red de Entel, no se observa conmutación de servicios, interfaz levanta sin intervención, parámetros de fibra dentro de norma.</t>
  </si>
  <si>
    <t>INC000006429168</t>
  </si>
  <si>
    <t>Se revisa en terreno encontrando conector Roma dañado en circuito, se regulariza quedando servicio operativo.</t>
  </si>
  <si>
    <t>Trabajo programado por parte de Entel corresponde a migración de servicios a nuevo PE3-RANCAGUA</t>
  </si>
  <si>
    <t>Caída de interfaz WAN en Router, no se detectan problemas en la MPLS. Sin registros de fallas de red ni trabajos programados, enlace levanta sin intervención</t>
  </si>
  <si>
    <t>INC000006435918</t>
  </si>
  <si>
    <t>INC000006440773</t>
  </si>
  <si>
    <t>Falla de red 6440625. Caída de troncal entre nodos MPLS</t>
  </si>
  <si>
    <t>Internet C. Matriz Agustinas</t>
  </si>
  <si>
    <t>INC000006448924</t>
  </si>
  <si>
    <t>Se realiza cambio de Jumper de FO dañado</t>
  </si>
  <si>
    <t>INC000006445050</t>
  </si>
  <si>
    <t>falla de red 6446404. Se repara corte de Fibra Óptica</t>
  </si>
  <si>
    <t>Celulosa Santa Fe GWIP</t>
  </si>
  <si>
    <t>Caída de Router</t>
  </si>
  <si>
    <t>Sergio Gallardo informa que se realizan pruebas con alertas de equipo en Zabbix</t>
  </si>
  <si>
    <t>INC000006447497</t>
  </si>
  <si>
    <t>Softys Lo Echevers ED-AD</t>
  </si>
  <si>
    <t>INC000006454303</t>
  </si>
  <si>
    <t>Falla de red 6449919. Se repara corte de FO en planta externa.</t>
  </si>
  <si>
    <t>Caída de interfaz Lan hacia Core de Orange donde está conectada la UPS.</t>
  </si>
  <si>
    <t>INC000006454301</t>
  </si>
  <si>
    <t>Celulosa Santa Fe</t>
  </si>
  <si>
    <t>Intermitencia UPS</t>
  </si>
  <si>
    <t>Se revisa UPS en cliente y se detectan problemas en tarjeta de red. Se solicita repuesto para su posterior cambio</t>
  </si>
  <si>
    <t>INC000006461672</t>
  </si>
  <si>
    <t>Falla de red 6462570. Saturación de troncal MPLS provoca degradación. Personal de redes realiza balanceo de tráfico logrando mejorar las condiciones de los servicios.</t>
  </si>
  <si>
    <t>INC000006461698</t>
  </si>
  <si>
    <t>INC000006461700</t>
  </si>
  <si>
    <t>INC000006462008</t>
  </si>
  <si>
    <t>Falla de red 6456602. Se repara corte de FO en cámara y servicio restablece</t>
  </si>
  <si>
    <t>Formin Concepción Internet</t>
  </si>
  <si>
    <t>INC000006466944</t>
  </si>
  <si>
    <t>Falla de red 6466346. Corte de FO troncal entre Chillan - Cabrero</t>
  </si>
  <si>
    <t>Adyacencia de BGP hacia la MPLS, no se registran fallas masivas ni trabajos programados, enlace levanta sin intervención</t>
  </si>
  <si>
    <t>INC000006466968</t>
  </si>
  <si>
    <t>Falla de red 6466343. Corte de FO troncal entre Chillan - Cabrero</t>
  </si>
  <si>
    <t>Falla de red 6468152. Multiples nodos MPLS sin conexión restablecen sin intervención técnica</t>
  </si>
  <si>
    <t>Celulosa Pacífico Respaldo</t>
  </si>
  <si>
    <t>Maderas Vivero Carlos Douglas</t>
  </si>
  <si>
    <t>Maderas Villa Pinares</t>
  </si>
  <si>
    <t>INC000006467737</t>
  </si>
  <si>
    <t>INC000006467738</t>
  </si>
  <si>
    <t>Terceros Ecofor Los Angeles</t>
  </si>
  <si>
    <t>INC000006467748</t>
  </si>
  <si>
    <t>INC000006468983</t>
  </si>
  <si>
    <t>Falla de red 6469154. Falla eléctrica en sitio de Entel y corte de FO en tramo P. Las Casas - Quepe y tramo Quepe - Freire</t>
  </si>
  <si>
    <t>INC000006469989</t>
  </si>
  <si>
    <t>DC CDLV Stack 3850</t>
  </si>
  <si>
    <t>Caída de interfaz</t>
  </si>
  <si>
    <t>Se detecta caída de interfaz G2/0/36. Se detecta interfaz en Err-Disabled por Loop L2, se da reset lógico a interfaz y restablece conexión.</t>
  </si>
  <si>
    <t>Sitio afectado por corte eléctrico general en la zona</t>
  </si>
  <si>
    <t>INC000006480542</t>
  </si>
  <si>
    <t>Nodo de acceso MPLS Santo Tomás presenta uptime de energía</t>
  </si>
  <si>
    <t>Nodo de acceso MPLS Los Mellizos presenta uptime de energía</t>
  </si>
  <si>
    <t>Intermitencia en interfaz troncal entre nodos MPLS</t>
  </si>
  <si>
    <t>Caída de Interfaces</t>
  </si>
  <si>
    <t>SW Core presenta adyacencia de BGP hacia en enlace Principal y Respaldo. En router Principal se aprecia caída de interfaz física</t>
  </si>
  <si>
    <t>Falla de red 6482010. Se reempalma FO cortada a 5,4 KM desde sitio San Pedro</t>
  </si>
  <si>
    <t>INC000006486139</t>
  </si>
  <si>
    <t>UPS con problemas</t>
  </si>
  <si>
    <t>INC000006487843</t>
  </si>
  <si>
    <t>Caída de interfaz Wan en nodo de acceso MPLS, restablece sin intervención</t>
  </si>
  <si>
    <t>Personal de terreno realiza cambio de UPS que se encontraba con problemas tras corte eléctrico en cliente</t>
  </si>
  <si>
    <t>Nodo PE1-QUILICURA presenta uptime por energía</t>
  </si>
  <si>
    <t>INC000006495605</t>
  </si>
  <si>
    <t>INC000006498301</t>
  </si>
  <si>
    <t>Falla de red 6499462. Nodo de acceso MPLS sin conexión por corte eléctrica en sitio de Entel</t>
  </si>
  <si>
    <t>UPS restablece tras corte eléctrico en sucursal</t>
  </si>
  <si>
    <t>INC000006501914</t>
  </si>
  <si>
    <t>Falla de red 6502080. Falla de energía en sitio de Entel, personal en terreno realizando mantenimiento correctivo eléctrico en sitio</t>
  </si>
  <si>
    <t>INC000006501988</t>
  </si>
  <si>
    <t>Felipe Lavin señala que SW donde está conectado la UPS se encontraba con problemas</t>
  </si>
  <si>
    <t>Caída por trabajos correctivos de energía en sitio de Entel tras falla masiva 6502080.</t>
  </si>
  <si>
    <t>Nodo MPLS afectado por TP1535421. Upgrade de enlace MMOO en sitio Cabrero Laja 2 hacia Montenegro.</t>
  </si>
  <si>
    <t>INC000006512298</t>
  </si>
  <si>
    <t>Yexil Arcila informa que UPS presenta problemas por lo que, se debió cambiar el estado del Bypass físico del rack</t>
  </si>
  <si>
    <t>INC000006513546</t>
  </si>
  <si>
    <t>INC000006514130</t>
  </si>
  <si>
    <t>Falla de red 6513753. Caída de troncal entre nodos MPLS por trabajos en sitio de Entel</t>
  </si>
  <si>
    <t>Se asiste a dependencias de cliente a realizar visita inspectiva por problemas con la acreditación técnica, UPS no entrega voltaje en la salida, no se puede intervenir los equipos</t>
  </si>
  <si>
    <t>INC000006516309</t>
  </si>
  <si>
    <t>Personal en planta señala que los técnicos de Entel no se encuentran acreditados para realizar intervenciones en los equipo de comunicación, se escala caso para revisar el tema de la acreditación</t>
  </si>
  <si>
    <t>Caída de protocolo OSPF hacia la MPLS. No se detectan caídas de troncales, no hay registros de fallas masivas ni alertas de trabajos programados</t>
  </si>
  <si>
    <t>INC000006520617</t>
  </si>
  <si>
    <t>Falla de red 6520739. Nodo de acceso MPLS sin conexión</t>
  </si>
  <si>
    <t>Portuaria</t>
  </si>
  <si>
    <t>INC000006521617</t>
  </si>
  <si>
    <t>Se realiza cambio de tarjeta en conversor de medios en extremo Radio Estación</t>
  </si>
  <si>
    <t>INC000006521633</t>
  </si>
  <si>
    <t>Se reemplaza cabezal de Fibra dañado en Radio Estación</t>
  </si>
  <si>
    <t>Servicio afectado por corte de energía en la zona</t>
  </si>
  <si>
    <t>INC000006526439</t>
  </si>
  <si>
    <t>Celulosa Talca</t>
  </si>
  <si>
    <t>Personal de terreno realiza  reparación de acceso de FO y servicio restablece</t>
  </si>
  <si>
    <t>Falla de red 6523498. Nodo de acceso MPLS sin conexión por falla de energía</t>
  </si>
  <si>
    <t>Caída de troncal entre nodos MPLS</t>
  </si>
  <si>
    <t>INC000006530729</t>
  </si>
  <si>
    <t>Equipo restablece tras corte eléctrico en dependencias de cliente</t>
  </si>
  <si>
    <t>INC000006530803</t>
  </si>
  <si>
    <t>INC000006537216</t>
  </si>
  <si>
    <t>Falla de red 6535904. Intermitencia en troncal entre nodos de transporte en la MPLS</t>
  </si>
  <si>
    <t>Cambio de UPS</t>
  </si>
  <si>
    <t>Afectado por TP 1531039. Upgrade  de IOS a PE2-LOSANGELES</t>
  </si>
  <si>
    <t>INC000006543803</t>
  </si>
  <si>
    <t>INC000006544122</t>
  </si>
  <si>
    <t>INC000006543805</t>
  </si>
  <si>
    <t>INC000006543806</t>
  </si>
  <si>
    <t>Enlace afectado por caída de poste al exterior de la planta</t>
  </si>
  <si>
    <t>INC000006547578</t>
  </si>
  <si>
    <t>Falla de red 6546963. Corte de FO entre Chillan - Linares / 6547216 2do Evento Corte de FO en Chillan</t>
  </si>
  <si>
    <t>INC000006547793</t>
  </si>
  <si>
    <t>INC000006547907</t>
  </si>
  <si>
    <t>Casa Matriz Los Angeles</t>
  </si>
  <si>
    <t>INC000006547876</t>
  </si>
  <si>
    <t>INC000006548664</t>
  </si>
  <si>
    <t>6935210001 </t>
  </si>
  <si>
    <t>Falla de red 6548406. Corte de FO en tramo Talca - Linares</t>
  </si>
  <si>
    <t>INC000006548665</t>
  </si>
  <si>
    <t>Se debe realizar cambio de equipo, se está a la espera de repuesto de equipo</t>
  </si>
  <si>
    <t>INC000006557399</t>
  </si>
  <si>
    <t>Caída corresponde trabajos de cambio de UPS</t>
  </si>
  <si>
    <t>Falla de red 6559827. Corte de FO tras accidente vehicular.</t>
  </si>
  <si>
    <t>Nodo MPLS presenta uptime de energía</t>
  </si>
  <si>
    <t>Formin Collipulli</t>
  </si>
  <si>
    <t>Servicio fue afectado por corte eléctrico en la zona</t>
  </si>
  <si>
    <t>INC000006566290</t>
  </si>
  <si>
    <t>INC000006569717</t>
  </si>
  <si>
    <t>Falla de red 6568092. Noodo de acceso MPLS sin conexión tras falla eléctrica en sitio de Entel</t>
  </si>
  <si>
    <t>INC000006570897</t>
  </si>
  <si>
    <t>Falla de red 6571828. Nodo de acceso MPLS sin conexión</t>
  </si>
  <si>
    <t>Trabajo Programado en dependencias de cliente</t>
  </si>
  <si>
    <t>Falla de red 6566085. Corte de FO tras golpe eléctrico</t>
  </si>
  <si>
    <t>Router no presenta indicios de caídas. Se revisa a nivel MPLS sin caídas de troncales en última milla, no se registran TP ni fallas masivas en la zona</t>
  </si>
  <si>
    <t>Sorepa Rancagua</t>
  </si>
  <si>
    <t>Servicio afectado por TP 1536125. Migración de Servicios en PE de Rancagua</t>
  </si>
  <si>
    <t>INC000006588411</t>
  </si>
  <si>
    <t>Madears Bucalemu</t>
  </si>
  <si>
    <t>Falla de red 6579648. Intermitencia entre nodos MPLS en Los Angeles - Mulchen</t>
  </si>
  <si>
    <t>INC000006590486</t>
  </si>
  <si>
    <t>Caída de interfaz en nodo de acceso de última milla</t>
  </si>
  <si>
    <t>INC000006590478</t>
  </si>
  <si>
    <t>Falla de red 6591407. Nodo de acceso sin conexión por falla de energía en sitio de Entel</t>
  </si>
  <si>
    <t>INC000006591427</t>
  </si>
  <si>
    <t>INC000006593184</t>
  </si>
  <si>
    <t>Falla de red 6579648. Intermitencia entre nodos MPLS Los Angeles - Mulchen</t>
  </si>
  <si>
    <t>INC000006596904</t>
  </si>
  <si>
    <t>Falla de red 6597247. Sitio de Entel afectado por falla de energía</t>
  </si>
  <si>
    <t>EIRA Lo Espejo Bodega</t>
  </si>
  <si>
    <t>INC000006598045</t>
  </si>
  <si>
    <t>INC000006597985</t>
  </si>
  <si>
    <t>Servicio afectado por falla eléctrica en sitio de Entel</t>
  </si>
  <si>
    <t>INC000006598556</t>
  </si>
  <si>
    <t>Falla de red 6598663. Nodo de acceso MPLS sin conexión por falla eléctrica en sitio de Entel</t>
  </si>
  <si>
    <t>INC000006598511</t>
  </si>
  <si>
    <t>Falla de red 6599127. Nodo de acceso MPLS sin conexión por falla eléctrico en sitio de Entel</t>
  </si>
  <si>
    <t>INC000006596515</t>
  </si>
  <si>
    <t>Problemas con llamadas</t>
  </si>
  <si>
    <t>INC000006604238</t>
  </si>
  <si>
    <t xml:space="preserve">Nodo de acceso MPLS Santo Tomas presenta uptime de energía </t>
  </si>
  <si>
    <t>INC000006603378</t>
  </si>
  <si>
    <t>Nodo de acceso MPLS Penco Norte presente uptime de energía</t>
  </si>
  <si>
    <t>Problema en tronca de proveedor Movistar</t>
  </si>
  <si>
    <t>Tiempo Total del Evento</t>
  </si>
  <si>
    <t>Se aprecia caída de interfa Wan en Router, no se detectan caídas a nive MPLS última milla</t>
  </si>
  <si>
    <t>INC000006608323</t>
  </si>
  <si>
    <t>Cambio de conversor en falla tras corte eléctrico en dependencias de cliente</t>
  </si>
  <si>
    <t>INC000006617115</t>
  </si>
  <si>
    <t>INC000006616098</t>
  </si>
  <si>
    <t>Villa Mininco Internet</t>
  </si>
  <si>
    <t>INC000006617361</t>
  </si>
  <si>
    <t>INC000006620988</t>
  </si>
  <si>
    <t>Falla de red 6603892. Nodo de acceso MPLS Santo Tomas presenta uptime de energía</t>
  </si>
  <si>
    <t>Servicio afectado por TP 1555214. Migración de servicio Maipu</t>
  </si>
  <si>
    <t>Servicio afectado por TP 1550568. Upgrade de OLT</t>
  </si>
  <si>
    <t>Caída de Red Lan</t>
  </si>
  <si>
    <t>INC000006633784</t>
  </si>
  <si>
    <t>Falla de red 6635547. Corte de FO en Cabrero por caída de árboles en cableado</t>
  </si>
  <si>
    <t>Servicio con intermitencias tras TP de migración de servicios. Se normaliza configuración y servicio restablece</t>
  </si>
  <si>
    <t>Terceros Ecofor Concepción</t>
  </si>
  <si>
    <t>INC000006634954</t>
  </si>
  <si>
    <t>Servicio afectado por frente de mal tiempo en la zona, router presenta uptime de energía</t>
  </si>
  <si>
    <t>Falla de red 6603892. Nodos de acceso mpls sin conexión</t>
  </si>
  <si>
    <t>Servicio afectado por frente de mal tiempo en la zona</t>
  </si>
  <si>
    <t>Falla de red 6634793. Corte de FO por caída de árboles sobre tendido de cables</t>
  </si>
  <si>
    <t>INC000006635302</t>
  </si>
  <si>
    <t>Sucursal sin energía por frente de mal tiempo en la zona.</t>
  </si>
  <si>
    <t>INC000006635256</t>
  </si>
  <si>
    <t>INC000006636831</t>
  </si>
  <si>
    <t>Sucursal sin energía por frente de mal tiempo en la zona</t>
  </si>
  <si>
    <t>Falla de red 6603892 .Nodo de acceso Mininco presenta uptime de energía por frente de mal tiempo en la zona</t>
  </si>
  <si>
    <t>Servicio afectado por frente de mal tiempo en la zona, servicio continúa caído</t>
  </si>
  <si>
    <t>Servicio afectado por frente de mal tiempo en la zona.</t>
  </si>
  <si>
    <t>Sucursal afectada por corte eléctrico en la zona</t>
  </si>
  <si>
    <t>Maderas Coyhaique</t>
  </si>
  <si>
    <t>Router no presente indicios de caídas, a nivel MPLS no se detectan caídas ni intermitencias</t>
  </si>
  <si>
    <t>Nodo de acceso MPLS Penco Norte presenta uptime de energía</t>
  </si>
  <si>
    <t>Falla de red 6647244. Nodo de acceso MPLS sin conexión</t>
  </si>
  <si>
    <t>INC000006647182</t>
  </si>
  <si>
    <t>INC000006647337</t>
  </si>
  <si>
    <t>INC000006652464</t>
  </si>
  <si>
    <t>Celulolsa Laja Respaldo</t>
  </si>
  <si>
    <t>INC000006647697</t>
  </si>
  <si>
    <t>INC000006649513</t>
  </si>
  <si>
    <t>INC000006650641</t>
  </si>
  <si>
    <t>INC000006653580</t>
  </si>
  <si>
    <t>Falla de red 6654636. Nodo de acceso Melipilun presenta uptime por energía</t>
  </si>
  <si>
    <t>INC000006656978</t>
  </si>
  <si>
    <t>Falla de red 6653316. Caída de enlace hacia Nacimiento PCS por corte de energía en sitio</t>
  </si>
  <si>
    <t>Se realiza limpieza y reset de conversor óptico en extremo cliente</t>
  </si>
  <si>
    <t>Sucursal continúa con problemas eléctricos</t>
  </si>
  <si>
    <t>Falla de red 6660450. Se reparan filamentos de FO cortados</t>
  </si>
  <si>
    <t>Falla de red 6651868. Se reparan múltiples corte de FO por caída de árboles a lo largo del tramo</t>
  </si>
  <si>
    <t>Falla de red 6654472. Corte de FO en Cabrero por caída de árboles en cableado</t>
  </si>
  <si>
    <t>INC000006662720</t>
  </si>
  <si>
    <t>Formin Temuco</t>
  </si>
  <si>
    <t>Afectado por TP 1557492. Upgrade a OLT-TEMUCO-2</t>
  </si>
  <si>
    <t>INC000006667669</t>
  </si>
  <si>
    <t>Falla de red 6637560. Intermitencia en troncal entre nodos mpls</t>
  </si>
  <si>
    <t>INC000006667623</t>
  </si>
  <si>
    <t>Pérdidas de paquetes</t>
  </si>
  <si>
    <t>INC000006675149</t>
  </si>
  <si>
    <t>Falla de red 6668395. Intermitencia entre nodos mpls</t>
  </si>
  <si>
    <t>Nodo de acceso MPLS Eneas presenta uptime por energía</t>
  </si>
  <si>
    <t>INC000006681384</t>
  </si>
  <si>
    <t>DC AMU - DC CDLV</t>
  </si>
  <si>
    <t>Nodo de acceso Penco Norte presenta uptime por energía</t>
  </si>
  <si>
    <t>Router no presenta indicios de caídas, no existen registros de fallas masivas ni trabajos programados</t>
  </si>
  <si>
    <t>INC000006689085</t>
  </si>
  <si>
    <t>Falla de red 6689314. Nodo de acceso MPLS sin conexión</t>
  </si>
  <si>
    <t>INC000006691105</t>
  </si>
  <si>
    <t>INC000006698525</t>
  </si>
  <si>
    <t>Se desconoce motivo de caída. enlace cae nuevamente el 19-08-2024</t>
  </si>
  <si>
    <t>INC000006697811</t>
  </si>
  <si>
    <t>Falla de red 6677215. Se realiza reparación de corte de FO en planta externa</t>
  </si>
  <si>
    <t>Falla de red 6688769. Se realiza mantención y limpieza de cruzadas en extremo Amunategui y CDLV</t>
  </si>
  <si>
    <t>INC000006698175</t>
  </si>
  <si>
    <t>Falla de red 6700759. Se realiza bypass y se instalan 2 mufas para dar continuidad al servicio</t>
  </si>
  <si>
    <t>Falla de red 6697963. Nodo de acceso MPLS sin conexión por falla eléctrica en sitio de Entel</t>
  </si>
  <si>
    <t>INC000006699955</t>
  </si>
  <si>
    <t>Se realiza cambio de Jumper de FO dañado y enlace restablece</t>
  </si>
  <si>
    <t>INC000006703341</t>
  </si>
  <si>
    <t>Falla de red 6702783. Nodo de acceso MPLS sin conexión</t>
  </si>
  <si>
    <t>INC000006703338</t>
  </si>
  <si>
    <t>Terceros CEN Hotline</t>
  </si>
  <si>
    <t>Nodo de acceso Collico PCS presenta uptime por energía</t>
  </si>
  <si>
    <t>INC000006708424</t>
  </si>
  <si>
    <t>Falla de red 6707956. Nodo de acceso mpls sin conexión por problemas de energía</t>
  </si>
  <si>
    <t>INC000006707710</t>
  </si>
  <si>
    <t>Falla de red 6699284. Se repara corte de FO a los 1870mts. Desde URA Quilicura hacia cliente.</t>
  </si>
  <si>
    <t>Falla de red 6708276. Nodo de acceso mpls sin conexión por problemas de energía</t>
  </si>
  <si>
    <t>INC000006713848</t>
  </si>
  <si>
    <t>Falla de red 6711278. Saturación de troncal entre nodos mpls por caída de interfaces que componen el Ether-Channel</t>
  </si>
  <si>
    <t>INC000006720222</t>
  </si>
  <si>
    <t>Falla de red 6720684. Corte de FO en tramo Los Angeles - Montenegro</t>
  </si>
  <si>
    <t>INC000006720258</t>
  </si>
  <si>
    <t>INC000006724508</t>
  </si>
  <si>
    <t>INC000006723106</t>
  </si>
  <si>
    <t>INC000006729289</t>
  </si>
  <si>
    <t>Falla de red 6728972. Nodo de acceso MPLS sin conexión por problemas eléctricos en sitio de Entel</t>
  </si>
  <si>
    <t>Administrador TI Daniel Morales informa que personal de Entel se encuentra trabajando en  las dependencias del parque</t>
  </si>
  <si>
    <t>Se instala modulo SFP y se reconecta interfaz de acceso</t>
  </si>
  <si>
    <t>Servicio migrado, se solicita actualización de IP en monitoreo</t>
  </si>
  <si>
    <t>Falla de red 6716601. Se repara corte de FO en Mulchen, se generará nueva incidencia por intermitencia en troncal mpls</t>
  </si>
  <si>
    <t>INC000006737407</t>
  </si>
  <si>
    <t>Router restablece tras uptime por energía debido a trabajos en dependencias de cliente</t>
  </si>
  <si>
    <t>INC000006738500</t>
  </si>
  <si>
    <t>Falla de red 6664020. Se realiza reparación de cableado por caída de postes y se detecta jumper óptico defectuoso en cliente</t>
  </si>
  <si>
    <t>Caída corresponde a trabajos de revisión de UPS</t>
  </si>
  <si>
    <t>INC000006745059</t>
  </si>
  <si>
    <t>Falla de red 6745501. Problemas eléctricos en sitio Laja Ciudad</t>
  </si>
  <si>
    <t>Falla de red 6740532. Corte de FO Eneas por camión con carga alta</t>
  </si>
  <si>
    <t>Caída de interfaz Lan hacia SW L3 de Orange</t>
  </si>
  <si>
    <t>Terceros Sonda Respaldo</t>
  </si>
  <si>
    <t>Afectado por TP 1575580. Upgrade de IOS a PE2-PFORESTAL</t>
  </si>
  <si>
    <t>Casa Matriz Agustinas</t>
  </si>
  <si>
    <t>INC000006770414</t>
  </si>
  <si>
    <t>INC000006769010</t>
  </si>
  <si>
    <t>Puerta en nodo de acceso bloqueada, se reinicia puerta fisicamente y servicio restablece</t>
  </si>
  <si>
    <t>INC000006775176</t>
  </si>
  <si>
    <t>INC000006773286</t>
  </si>
  <si>
    <t>Falla de red 6773422. Nodo de acceso MPLS sin conexión por problemas de energía</t>
  </si>
  <si>
    <t>INC000006774360</t>
  </si>
  <si>
    <t>Se instala modulo SFP y se reemplaza Jumper de fibra</t>
  </si>
  <si>
    <t>Falla de red 6775906. Corte de FO en antofagasta lado Norte</t>
  </si>
  <si>
    <t>Adyacencia de protocolo BGP hacia la MPLS, enlace restablece sin intervención, no se registran fallas masivas ni trabajos programados</t>
  </si>
  <si>
    <t>Yexil Arcila informa que se realizará cierre total de la sucursal, por ende se debe solicitar la baja comercial del servicio</t>
  </si>
  <si>
    <t>Caída de enlace tras descarga total de UPS. Router restablece tras uptime por energía</t>
  </si>
  <si>
    <t>INC000006786329</t>
  </si>
  <si>
    <t>Celulosa Pacífico</t>
  </si>
  <si>
    <t>Se habilitan llamadas hacia la red pública para anexo 3221</t>
  </si>
  <si>
    <t>INC000006801043</t>
  </si>
  <si>
    <t>INC000006802165</t>
  </si>
  <si>
    <t>Claudia informa que se realiza mantención de transformador, lo que provocó la caída del servicio</t>
  </si>
  <si>
    <t>Adyacencia de BGP hacia la MPLS, no se registran fallas masivas ni trabajos programados, enlace se recupera sin intervención</t>
  </si>
  <si>
    <t>Falla de red 6803556. Corte de FO URA Maipú</t>
  </si>
  <si>
    <t>INC000006819774</t>
  </si>
  <si>
    <t>INC000006821745</t>
  </si>
  <si>
    <t>INC000006821979</t>
  </si>
  <si>
    <t>Terceros Genesys</t>
  </si>
  <si>
    <t>Falla de red 6824343. Se repara corte de FO por vandalismo</t>
  </si>
  <si>
    <t>Nodo mpls Collico PCS presenta uptime por energía</t>
  </si>
  <si>
    <t>Caída de interfaz troncal entre nodos MPLS de Talca</t>
  </si>
  <si>
    <t>INC000006827643</t>
  </si>
  <si>
    <t>Personal técnico realiza cambio de cabezal de fibra defectuoso en ODF en extremo R/E</t>
  </si>
  <si>
    <t>INC000006832938</t>
  </si>
  <si>
    <t>Parámetros de FO fuera de norma, se realiza mantención de recursos ópticos y enlace restablece</t>
  </si>
  <si>
    <t>INC000006833684</t>
  </si>
  <si>
    <t>Falla de red 6834424. Corte de FO provocado por maquinaria pesada de Forestal</t>
  </si>
  <si>
    <t>INC000006833685</t>
  </si>
  <si>
    <t>INC000006833692</t>
  </si>
  <si>
    <t>INC000006834527</t>
  </si>
  <si>
    <t>INC000006842953</t>
  </si>
  <si>
    <t>Personal en terreno detecta modulos SFP suelto en R/E, se reconecta modulo y servicio restablece</t>
  </si>
  <si>
    <t>INC000006847849</t>
  </si>
  <si>
    <t>Enlace desconectado por cliente debido a trabajos de remodelación en sus dependencias</t>
  </si>
  <si>
    <t>INC000006852071</t>
  </si>
  <si>
    <t>INC000006856322</t>
  </si>
  <si>
    <t>Intermitencia en enlace DWDM deja interfaz bloqueada por ERR-DISABLE</t>
  </si>
  <si>
    <t>Se re-configura ruta entre nodos MPLS de Concepción - Escuadrón</t>
  </si>
  <si>
    <t>INC000006857482</t>
  </si>
  <si>
    <t>Se detecta tarjeta Raisecom con problemas. Se está a la espera de repuesto para realizar cambio</t>
  </si>
  <si>
    <t>INC000006926313</t>
  </si>
  <si>
    <t>Degradación - Lentitud</t>
  </si>
  <si>
    <t>Falla de red 6923896. Caída de troncal entre Los Angeles - Nacimiento</t>
  </si>
  <si>
    <t>INC000006927277</t>
  </si>
  <si>
    <t>INC000006927280</t>
  </si>
  <si>
    <t>INC000006928524</t>
  </si>
  <si>
    <t>INC000006928532</t>
  </si>
  <si>
    <t>Adyacencia de BGP hacia la MPLS, enlace restablece sin intervención. No se registran fallas masivas ni trabajos programados</t>
  </si>
  <si>
    <t>Nicolás Morales indica que existe corte eléctrico en sucursal</t>
  </si>
  <si>
    <t>INC000006930907</t>
  </si>
  <si>
    <t>Falla de red 6930548. Problemas eléctricos en R/E por vandalismo</t>
  </si>
  <si>
    <t>INC000006943958</t>
  </si>
  <si>
    <t>Falla de red 6944215. Nodo de acceso mpls sin conexión por problemas eléctricos en sitio de Entel</t>
  </si>
  <si>
    <t>INC000006945021</t>
  </si>
  <si>
    <t>INC000006948156</t>
  </si>
  <si>
    <t>Falla de red 6948461. Problemas en red GPON Antofagasta</t>
  </si>
  <si>
    <t>Falla de red 6821564. Nodo de acceso mpls Penco Norte sin conexión por vandalismo a R/E, por lo que, enlace presenta contantes intermitencias</t>
  </si>
  <si>
    <t>INC000006950224</t>
  </si>
  <si>
    <t>Falla de red 6950136. Corte de FO en mufa por vandalismo</t>
  </si>
  <si>
    <t>INC000006949713</t>
  </si>
  <si>
    <t>Caída de enlace corresponde a trabajos de cliente en sus dependencias</t>
  </si>
  <si>
    <t>INC000006967664</t>
  </si>
  <si>
    <t>Se detecta Jumper Óptico dañado en extremo ENEAS</t>
  </si>
  <si>
    <t>Intermitencia en Interfaz</t>
  </si>
  <si>
    <t>INC000006977545</t>
  </si>
  <si>
    <t>Intermitencia de interfaz Ten2/1/7. Caída producto de intermitencia en la red DWDM</t>
  </si>
  <si>
    <t>INC000006982258</t>
  </si>
  <si>
    <t>Nodo de acceso MPLS Cabrero Laja2 presenta uptime por energía</t>
  </si>
  <si>
    <t>Caída de puerta en OLT, servicio levanta sin intervención técnica</t>
  </si>
  <si>
    <t>Enlace restablece sin intervención. Router no presenta uptime ni logs de caídas. A nivel MPLS no se detectan anomalías o fallas que afecten el servicio</t>
  </si>
  <si>
    <t>Falla de red 6979147. Se reapara corte de FO por trabajos viales</t>
  </si>
  <si>
    <t>Personal técnico asiste a dependencias de cliente y realiza reparación de servicio</t>
  </si>
  <si>
    <t>INC000006990671</t>
  </si>
  <si>
    <t>Cliente solicita nueva visita para el día 18-11, ya que, aún continúan los trabajos de remodelación</t>
  </si>
  <si>
    <t>INC000006989614</t>
  </si>
  <si>
    <t>Se detecta caída de puerta en OLT, la cuál levanta sin intervención técnica. No se registran fallas de red ni trabajos programados</t>
  </si>
  <si>
    <t>INC000006870263</t>
  </si>
  <si>
    <t>INC000006867264</t>
  </si>
  <si>
    <t>Parque Alessandri</t>
  </si>
  <si>
    <t>Servicio afectado por falla de red INC000006867095</t>
  </si>
  <si>
    <t>INC000006867234</t>
  </si>
  <si>
    <t>Forestal Cañete</t>
  </si>
  <si>
    <t xml:space="preserve">Se recrea rutas entre pe de Concepción y Escuadrón </t>
  </si>
  <si>
    <t>BIOPACKAGING</t>
  </si>
  <si>
    <t>INC000006873220</t>
  </si>
  <si>
    <t>Celulosa Laja</t>
  </si>
  <si>
    <t>Boleta red por Sitio BI 765 el cual se encuentra sin energía eléctrica</t>
  </si>
  <si>
    <t>INC000006876520</t>
  </si>
  <si>
    <t>Servicio afectado po falla de red INC000006876503</t>
  </si>
  <si>
    <t>Servicio afectado po falla de red  INC000006876503</t>
  </si>
  <si>
    <t>Camino a Santa Juan km 9,2</t>
  </si>
  <si>
    <t>INC000006878603</t>
  </si>
  <si>
    <t>Subestación Charrua</t>
  </si>
  <si>
    <t>Servicio afectado po falla de red</t>
  </si>
  <si>
    <t>INC000006895323</t>
  </si>
  <si>
    <t>INC000006895045</t>
  </si>
  <si>
    <t>Servicio afectado po falla de red  INC000006895415</t>
  </si>
  <si>
    <t>Interface Disabled</t>
  </si>
  <si>
    <t>Interfaz lan desabilitada por cliente</t>
  </si>
  <si>
    <t>INC000006901241</t>
  </si>
  <si>
    <t>Node Down</t>
  </si>
  <si>
    <t>Servicio afectado po falla de red  INC000006903298</t>
  </si>
  <si>
    <t xml:space="preserve">Servicio afectado po falla de red  INC000006821564 </t>
  </si>
  <si>
    <t>INC000006909970</t>
  </si>
  <si>
    <t xml:space="preserve">Servicio afectado po falla de red  INC000006909411 </t>
  </si>
  <si>
    <t>INC000006909720</t>
  </si>
  <si>
    <t>Servicio afectado po falla de red  INC000006911058</t>
  </si>
  <si>
    <t>INC000006910722</t>
  </si>
  <si>
    <t>Conversor raicecom bloqueado se reinicia tarjeta y transceiver</t>
  </si>
  <si>
    <t>INC000006914805</t>
  </si>
  <si>
    <t>Se repara FO cortada por intervención de terceros</t>
  </si>
  <si>
    <t>INC000006920217</t>
  </si>
  <si>
    <t>Enlace levanta sin intervención. No se registra causa de la caída</t>
  </si>
  <si>
    <t>INC000006935213</t>
  </si>
  <si>
    <t>INC000006748892</t>
  </si>
  <si>
    <t>Baterías de UPS</t>
  </si>
  <si>
    <t>Se asiste a dependencias de cliente, pero no se logra ingreso por falta de acreditación de técnicos de la zona</t>
  </si>
  <si>
    <t>INC000006935407</t>
  </si>
  <si>
    <t>Se asiste a cliente y se realiza cambio de UPS y banco de baterías normalizando servicio.</t>
  </si>
  <si>
    <t>INC000007010074</t>
  </si>
  <si>
    <t>Caída de UPS tras caída de switch core de planta</t>
  </si>
  <si>
    <t>Eira Osorno</t>
  </si>
  <si>
    <t>Caída de switch</t>
  </si>
  <si>
    <t>SW Core presenta adyacencia de BGP hacia en enlace Principal lo cual restablece sin intervención</t>
  </si>
  <si>
    <t>Caída de interfaz WAN en nodo de acceso la cual restablece sin intervención. No se registran TP ni fallas de red</t>
  </si>
  <si>
    <t>INC000007016854</t>
  </si>
  <si>
    <t>INC000007017724</t>
  </si>
  <si>
    <t>INC000007019083</t>
  </si>
  <si>
    <t>Fomin Pitrufquen</t>
  </si>
  <si>
    <t>Falla de red 7019478. Corte de FO en tramo Temuco - Loncoche</t>
  </si>
  <si>
    <t>INC000007019516</t>
  </si>
  <si>
    <t>INC000007020976</t>
  </si>
  <si>
    <t>Falla de red 7021783. Caída de puerta en OLT, levanta sin intervención técnica</t>
  </si>
  <si>
    <t>INC000007022795</t>
  </si>
  <si>
    <t>Servicio afectado por TP 1604125. Enlace operativo sin pérdidas ni altos tiempos de respuesta</t>
  </si>
  <si>
    <t>INC000007022798</t>
  </si>
  <si>
    <t>INC000007022802</t>
  </si>
  <si>
    <t>INC000007022953</t>
  </si>
  <si>
    <t>Personal técnico asiste a terreno, energiza equipos desconectados por cliente por trabajos de remodelación</t>
  </si>
  <si>
    <t>INC000007027881</t>
  </si>
  <si>
    <t>INC000007028846</t>
  </si>
  <si>
    <t>Forestal Coyhaique</t>
  </si>
  <si>
    <t>Se asiste a dependencias de cliente y se normaliza output status de la UPS</t>
  </si>
  <si>
    <t>Afectado por TP 1615961. Migración de troncal por problemas de saturación</t>
  </si>
  <si>
    <t>Caída de UPS producto de uptime eléctrico en SW Lan</t>
  </si>
  <si>
    <t>INC000007036335</t>
  </si>
  <si>
    <t>Intermitencia en interfaz TG1/1/7. Personal de redes informa que no existe eventos a nivel de DWDM. Puerta sin aumento de errores ni CRC, parámetros de fibra dentro de norma</t>
  </si>
  <si>
    <t>Router no presenta indicios de caídas recientes. No se registran fallas de red ni trabajos programados</t>
  </si>
  <si>
    <t xml:space="preserve">INC000007049460 </t>
  </si>
  <si>
    <t>Caída de Interfaz</t>
  </si>
  <si>
    <t xml:space="preserve">TP 1616704. Pruebas de conmutación Maipú - CDLV - Quilicura y Independencia - Huechuraba - Las Condes </t>
  </si>
  <si>
    <t>INC000007051325</t>
  </si>
  <si>
    <t>Personal de redes informa que intermitencia es debido a conmutación de canales ASON</t>
  </si>
  <si>
    <t>Adyacencia de BGP hacia la MPLS. Enlace levanta sin intervención, no se registran falla de red ni trabajos programados</t>
  </si>
  <si>
    <t>INC000007065319</t>
  </si>
  <si>
    <t>Personal de redes informa que la caída fue producto de pruebas de conmutación que se realizaron.</t>
  </si>
  <si>
    <t>Servicio afectado por trabajo programado TP 1618724. Upgrade de IOS en Nodo PE</t>
  </si>
  <si>
    <t>INC000007069544</t>
  </si>
  <si>
    <t>Falla de red 7069411. Corte de FO en lo Echevers producto de vandalismo</t>
  </si>
  <si>
    <t>INC000007071206</t>
  </si>
  <si>
    <t>Falla de red 7010181. Migración de servicio a nuevo sitio Penco Pcs por vandalismo crítico en Penco Norte</t>
  </si>
  <si>
    <t>INC000007076427</t>
  </si>
  <si>
    <t>Falla de red 7075702. Corte de FO por vehiculo con carga alta.</t>
  </si>
  <si>
    <t>INC000006986740</t>
  </si>
  <si>
    <t>Falla de red 6986845. Nodo de acceso MPLS sin conexión</t>
  </si>
  <si>
    <t>INC000007001004</t>
  </si>
  <si>
    <t>Problemas de configuración en equipamiento de Orange</t>
  </si>
  <si>
    <t>INC000007055648</t>
  </si>
  <si>
    <t>Router sin administración</t>
  </si>
  <si>
    <t>Se asiste a dependencias de cliente y se recupera administración remota de router con problemas</t>
  </si>
  <si>
    <t>INC000007105506</t>
  </si>
  <si>
    <t>Falla de red 7106979. Corte de FO por vehiculo con carga alta</t>
  </si>
  <si>
    <t>INC000007106482</t>
  </si>
  <si>
    <t>FO Santa Fe - Nacimiento</t>
  </si>
  <si>
    <t>Caída de FO</t>
  </si>
  <si>
    <t>INC000007107564</t>
  </si>
  <si>
    <t>Servicio afectado por TP 1624149. Cambio de cableado por atenuaciones en tramo Los Ángeles - Collipulli</t>
  </si>
  <si>
    <t>INC000007108440</t>
  </si>
  <si>
    <t>INC000007111146</t>
  </si>
  <si>
    <t>Falla de red 7115098. Se realiza cambio de Pigtail roto en extremo R/E y reparación de acometida en extremo cliente</t>
  </si>
  <si>
    <t>Adyacencia de protocolo BGP hacia la MPLS. Servicio restablece sin intervención, no se registran eventos masivos ni trabajos programados</t>
  </si>
  <si>
    <t>INC000007134285</t>
  </si>
  <si>
    <t>INC000007134753</t>
  </si>
  <si>
    <t>INC000007133141</t>
  </si>
  <si>
    <t>Falla de red 7133040. Nodo de acceso Cabrero Laja 2 PCS presenta uptime por energía</t>
  </si>
  <si>
    <t>INC000007133574</t>
  </si>
  <si>
    <t>Yexil Arcila informa corte de energía total en la planta</t>
  </si>
  <si>
    <t>INC000007143037</t>
  </si>
  <si>
    <t>Flap de interfaz producto de trabajos por parte de personal de planta externa por incidencia de red</t>
  </si>
  <si>
    <t>INC000007147554</t>
  </si>
  <si>
    <t>Falla de red 7147783. Se detecta flap a nivel de planta externa lo que provoca conmutación de canales.</t>
  </si>
  <si>
    <t>INC000007150677</t>
  </si>
  <si>
    <t>Falla de red 7150172. Falla eléctrica en sitio Laja</t>
  </si>
  <si>
    <t>INC000007150596</t>
  </si>
  <si>
    <t>Se cierra incidente debido a que técnicos de Entel no se encuentran acreditados para ingresar a las dependencias</t>
  </si>
  <si>
    <t>Falla de red 7135540. Corte de FO por vandalismo en cámara subterránea</t>
  </si>
  <si>
    <t>INC000007160568</t>
  </si>
  <si>
    <t>Falla de red 7160698. Nodo de acceso sin conexión debido a corte eléctrico en sitio de Entel</t>
  </si>
  <si>
    <t>Nodo de acceso S1-53-PASTENE presenta uptime por energía</t>
  </si>
  <si>
    <t>GW IP Santa Fe</t>
  </si>
  <si>
    <t>INC000007164174</t>
  </si>
  <si>
    <t>Revisión de FO</t>
  </si>
  <si>
    <t>Se detecta caída de equipo CORE L3, lo que provoca la caída en monitoreo del GWIP de Entel</t>
  </si>
  <si>
    <t>Falla de red 7167767. Corte de FO entre sitios</t>
  </si>
  <si>
    <t>INC000007172605</t>
  </si>
  <si>
    <t>Falla de red 7172719. Nodo de acceso mpls sin conexión tras corte eléctrico en sitio de Entel</t>
  </si>
  <si>
    <t>INC000007172700</t>
  </si>
  <si>
    <t>Router levanta tras uptime por energía</t>
  </si>
  <si>
    <t>INC000007173144</t>
  </si>
  <si>
    <t>INC000007173489</t>
  </si>
  <si>
    <t>INC000007173597</t>
  </si>
  <si>
    <t>Falla de red 7173300. Nodo de acceso MPLS sin conexión</t>
  </si>
  <si>
    <t>INC000007178800</t>
  </si>
  <si>
    <t>Falla de red 7178984. Nodo de acceso MPLS sin conexión</t>
  </si>
  <si>
    <t>INC000007178887</t>
  </si>
  <si>
    <t>Falla de red 7139543. Nodo de acceso MPLS sin conexión</t>
  </si>
  <si>
    <t>INC000007183582</t>
  </si>
  <si>
    <t>Se repara servicio fibra óptica cortada por terceros</t>
  </si>
  <si>
    <t>Incidente</t>
  </si>
  <si>
    <t>N° Ticket Incidente</t>
  </si>
  <si>
    <t>Tipo de incidente</t>
  </si>
  <si>
    <t>Falla en medio de transmision</t>
  </si>
  <si>
    <t>Falla en sitio Entel</t>
  </si>
  <si>
    <t>Falla de energia cliente</t>
  </si>
  <si>
    <t>Falla logica Entel</t>
  </si>
  <si>
    <t>INC000007624365</t>
  </si>
  <si>
    <t>Se aprecia reinicio en el protocolo BGP de la Vlan91 - HACIA VDOM TERCEROS CMPC - Internet - DMZ, la cual se normaliza</t>
  </si>
  <si>
    <t>Fallo en Protocolo de enrutamiento</t>
  </si>
  <si>
    <t>INC000007628524</t>
  </si>
  <si>
    <t>Agregar ruta estatica y prefix-list</t>
  </si>
  <si>
    <t>Se solicita agregar ruta estatica y prefix-list</t>
  </si>
  <si>
    <t>INC000007628527</t>
  </si>
  <si>
    <t>INC000007631564</t>
  </si>
  <si>
    <t>Revisión por caidas</t>
  </si>
  <si>
    <t>Se solicita revisión por posibles caidas</t>
  </si>
  <si>
    <t>INC000007632037</t>
  </si>
  <si>
    <t>Se solicita agregar VLAN 1 a interfaces de Port-Channel 11</t>
  </si>
  <si>
    <t>Agregar VLAN 1</t>
  </si>
  <si>
    <t>INC000007637491</t>
  </si>
  <si>
    <t>INC000007637493</t>
  </si>
  <si>
    <t>Agregar ruta estatica</t>
  </si>
  <si>
    <t>Se solicita agregar ruta estatica en equipos Core</t>
  </si>
  <si>
    <t>WO0000004571475</t>
  </si>
  <si>
    <t>WO0000004571478</t>
  </si>
  <si>
    <t>INC000007650091</t>
  </si>
  <si>
    <t>Sin Servicio</t>
  </si>
  <si>
    <t>Servicio caido vuelve después de corte electrico</t>
  </si>
  <si>
    <t>INC000007670835</t>
  </si>
  <si>
    <t>INC000007670855</t>
  </si>
  <si>
    <t>Caida de interfaz</t>
  </si>
  <si>
    <t>Caida de interfaz Port-channel43</t>
  </si>
  <si>
    <t>INC000007671560</t>
  </si>
  <si>
    <t>Caida de servicio</t>
  </si>
  <si>
    <t>INC000007693296</t>
  </si>
  <si>
    <t>Caida de servicio - Caida en el protocolo BGP hacia el PE, se observan logs de flapeo de distintas MAC por VLAN 332 y VLAN 1</t>
  </si>
  <si>
    <t xml:space="preserve">INC000007700285 </t>
  </si>
  <si>
    <t>INC000007702025</t>
  </si>
  <si>
    <t>Caida de servicio - Caida en el protocolo BGP hacia SWL3 ENTEL-CMPC</t>
  </si>
  <si>
    <t xml:space="preserve">INC000007704147 </t>
  </si>
  <si>
    <t>Caida de servicio - Corte de energía programado</t>
  </si>
  <si>
    <t>INC000007706416</t>
  </si>
  <si>
    <t>Caida de servicio - Servicio afectado por BRED en nodo Angol - Cable FO cortado por terceros</t>
  </si>
  <si>
    <t>INC000007724751</t>
  </si>
  <si>
    <t>INC000007729998</t>
  </si>
  <si>
    <t>Servicio afectado por boleta de red en Nodo</t>
  </si>
  <si>
    <t>Equipos vuelven a estar operativos despues de corte electrico</t>
  </si>
  <si>
    <t>INC000007730113</t>
  </si>
  <si>
    <t>INC000007734432</t>
  </si>
  <si>
    <t>Log en equipo</t>
  </si>
  <si>
    <t>Servicio se encuentra con Logs %IOSXE_QFP-2-LOAD_RECOVER</t>
  </si>
  <si>
    <t>En curso</t>
  </si>
  <si>
    <t>Servicio levanta luego de corte eléctrico</t>
  </si>
  <si>
    <t>UPS se descarga, vuelve luego de corte electrico</t>
  </si>
  <si>
    <t>Enlaces caen tras descarga total de UPS, Servicio vuelve a estar operativo</t>
  </si>
  <si>
    <t>Caída de interfaz hacia WAN, provoco reinicio BGP</t>
  </si>
  <si>
    <t>INC000007757655</t>
  </si>
  <si>
    <t>Degradacion // Boleta de red</t>
  </si>
  <si>
    <t>Degradacion por BRED que afecta NODO de acceso</t>
  </si>
  <si>
    <t>INC000007759755</t>
  </si>
  <si>
    <t>Caida de servicio // Boleta de red</t>
  </si>
  <si>
    <t xml:space="preserve">Caida de servicio, personal en tereno // asignado BRED INC000007760971 </t>
  </si>
  <si>
    <t>INC000007766600</t>
  </si>
  <si>
    <t>INC000007767540</t>
  </si>
  <si>
    <t xml:space="preserve">Caida de servicio // probelmas jumper optico </t>
  </si>
  <si>
    <t>Caida de servicio // afectado por BRED corte de fibra INC000007768172</t>
  </si>
  <si>
    <t>INC000007773776</t>
  </si>
  <si>
    <t xml:space="preserve">Caida de servicio // Afectado por BRED INC000007773836  corte de fibra. </t>
  </si>
  <si>
    <t>INC000007776880</t>
  </si>
  <si>
    <t>Caida de servicio //BRED INC000007778249 corte de fibra // ETR 7 horas</t>
  </si>
  <si>
    <t>INC000007781613</t>
  </si>
  <si>
    <t xml:space="preserve">Caida de servicio // probelmas en nodo de acceso </t>
  </si>
  <si>
    <t>INC000007783456</t>
  </si>
  <si>
    <t>INC000007781507</t>
  </si>
  <si>
    <t>Problema electricos</t>
  </si>
  <si>
    <t>Caida de servicio // Trabajos programados</t>
  </si>
  <si>
    <t>Problemas electricos</t>
  </si>
  <si>
    <t>INC000007793886</t>
  </si>
  <si>
    <t>Interfaz probelmas</t>
  </si>
  <si>
    <t>Central telefonica con probelms en Interfaz probelmas</t>
  </si>
  <si>
    <t>INC000007805539</t>
  </si>
  <si>
    <t>Corte de fibra entre Radio estacion y Cliente.</t>
  </si>
  <si>
    <t>Problema equipo XG</t>
  </si>
  <si>
    <t>INC000007818197</t>
  </si>
  <si>
    <t>INC000007826643</t>
  </si>
  <si>
    <t>INC000007833422</t>
  </si>
  <si>
    <t>Se verifica probelma en nodo de acceso. Jumper dañado</t>
  </si>
  <si>
    <t>INC000007848310</t>
  </si>
  <si>
    <t>INC000007878852</t>
  </si>
  <si>
    <t>INC000007885466</t>
  </si>
  <si>
    <t>INC000007890962</t>
  </si>
  <si>
    <t>INC000007902434</t>
  </si>
  <si>
    <t>INC000007904602</t>
  </si>
  <si>
    <t>INC000007904610</t>
  </si>
  <si>
    <t>INC000007905515</t>
  </si>
  <si>
    <t>INC000007902286</t>
  </si>
  <si>
    <t>INC000007905656</t>
  </si>
  <si>
    <t>INC000007903576</t>
  </si>
  <si>
    <t>Equipo</t>
  </si>
  <si>
    <t>Etiquetas de fila</t>
  </si>
  <si>
    <t>Total general</t>
  </si>
  <si>
    <t>CMPC-C-CEL-MADERAS-PLANTA-CLEAR-PRIN-10000000822-RESP-GTD</t>
  </si>
  <si>
    <t>CMPC-D-CEL-MADERAS-BUCALEMU-PRIN-10000000824-RESP-GTD</t>
  </si>
  <si>
    <t>CMPC-D-CEL-CAPITAN-PASTENE-UNIC-10000514345</t>
  </si>
  <si>
    <t>Etiquetas de columna</t>
  </si>
  <si>
    <t>INC000007902650</t>
  </si>
  <si>
    <t>INC000007909900</t>
  </si>
  <si>
    <t>Problemas Electricos</t>
  </si>
  <si>
    <t xml:space="preserve">BRED // NODO DE ACCESO </t>
  </si>
  <si>
    <t xml:space="preserve">Cliente </t>
  </si>
  <si>
    <t>Corte de ultima milla</t>
  </si>
  <si>
    <t>Causa</t>
  </si>
  <si>
    <t>Observación</t>
  </si>
  <si>
    <t>Recuento de Resposabilidad</t>
  </si>
  <si>
    <t>Recuento distinto de Equipo</t>
  </si>
  <si>
    <t>INTERNET</t>
  </si>
  <si>
    <t>ROUTER</t>
  </si>
  <si>
    <t>ROUTER XG</t>
  </si>
  <si>
    <t>STACK</t>
  </si>
  <si>
    <t>SWITCH</t>
  </si>
  <si>
    <t>Recuento de 10000500811</t>
  </si>
  <si>
    <t xml:space="preserve">FALLAS </t>
  </si>
  <si>
    <t>Equipos Operativos</t>
  </si>
  <si>
    <t>BRED // NODO DE ACCESO</t>
  </si>
  <si>
    <t>Recuento de Observación</t>
  </si>
  <si>
    <t>INC000007926824</t>
  </si>
  <si>
    <t>detección de problemas en redes de Entel que afectan a varios clientes.</t>
  </si>
  <si>
    <t>Probelmas electricos en el sitio descarga total de la UPS</t>
  </si>
  <si>
    <t>INC000007930255</t>
  </si>
  <si>
    <t xml:space="preserve">Afectacion por trabajos internos </t>
  </si>
  <si>
    <t>INC000007955116</t>
  </si>
  <si>
    <t>problemas con jumper optico.</t>
  </si>
  <si>
    <t>INC000007959963</t>
  </si>
  <si>
    <t xml:space="preserve">Trabajos programados </t>
  </si>
  <si>
    <t>INC000007959987</t>
  </si>
  <si>
    <t xml:space="preserve">Proeblemas electricos </t>
  </si>
  <si>
    <t>Otro problemas // asociados a cliente</t>
  </si>
  <si>
    <t>Proeblemas electricos, establecieminto funciona con grupo electrogeno</t>
  </si>
  <si>
    <t>Otro problemas // asociados a ENTEL</t>
  </si>
  <si>
    <t>Proeblemas electricos.</t>
  </si>
  <si>
    <t>INC000007964012</t>
  </si>
  <si>
    <t>INC000007965087</t>
  </si>
  <si>
    <t>INC000007966846</t>
  </si>
  <si>
    <t xml:space="preserve">Se realiza reparación de conector roma defectuoso en CTO quedando servicio operativo. </t>
  </si>
  <si>
    <t>INC000007969217</t>
  </si>
  <si>
    <t xml:space="preserve">Servicio afectado por BRED, corte de fibra hacia nodo de acceso </t>
  </si>
  <si>
    <t>Proeblemas electricos. Descarga total de UPS</t>
  </si>
  <si>
    <t>Intermitencias // Lentitud</t>
  </si>
  <si>
    <t>INC de Mejoras</t>
  </si>
  <si>
    <t>INC000007874994</t>
  </si>
  <si>
    <t>Problema telefonia</t>
  </si>
  <si>
    <t>Problema telefonia 555</t>
  </si>
  <si>
    <t>INC000007884019</t>
  </si>
  <si>
    <t>Lentitud</t>
  </si>
  <si>
    <t>INC000007906021</t>
  </si>
  <si>
    <t>Probelma UPS</t>
  </si>
  <si>
    <t>Monitoreo indica problema de lantitud pero no se logra ver nada.</t>
  </si>
  <si>
    <t>Ups con probelmas en monitoreo, se soluciona y monitoreo se normaliza</t>
  </si>
  <si>
    <t>INC000007910821</t>
  </si>
  <si>
    <t>Ups con probelmas en monitoreo, cambio de UPS</t>
  </si>
  <si>
    <t>INC000007925802</t>
  </si>
  <si>
    <t xml:space="preserve">servicio cae y sube sin ientervencio de tecnico. </t>
  </si>
  <si>
    <t>INC000007932072</t>
  </si>
  <si>
    <t xml:space="preserve">CASO ESPECIAL </t>
  </si>
  <si>
    <t xml:space="preserve">Cliente desconecto servicio CMPC debe verificar esto con cliente. </t>
  </si>
  <si>
    <t>INC000007937878</t>
  </si>
  <si>
    <t>Cambio UPS con problemas en bateria</t>
  </si>
  <si>
    <t>INC000007938847</t>
  </si>
  <si>
    <t>MODULO ENERGIA</t>
  </si>
  <si>
    <t>Inc de mejora</t>
  </si>
  <si>
    <t xml:space="preserve">Se realiza cambio de modulo de energia de respaldo del equipo. </t>
  </si>
  <si>
    <t>INC000007949626</t>
  </si>
  <si>
    <t>Probelma especifico de telefonia. Se configuran nuevas posiciones para los anexos 555 y  3279 quedando operativos. valida cliente</t>
  </si>
  <si>
    <t>CMPC-C-CEL-PACIFICO-PRIN-10000058627</t>
  </si>
  <si>
    <t>INC000007986918</t>
  </si>
  <si>
    <t xml:space="preserve">Servicio se esta mudando de la MPLS. Asi que serviico se encontrara DOWN de ahora en adelante. </t>
  </si>
  <si>
    <t>Equipo recupera conectividad sin intervención técnica</t>
  </si>
  <si>
    <t>Edipac Quilicura tendrá un trabajo programado por mantención de tableros eléctricos éste próximo domingo 6 de Julio</t>
  </si>
  <si>
    <t xml:space="preserve">Servicio afectdo por probelmas electricos </t>
  </si>
  <si>
    <t>INC000007991684</t>
  </si>
  <si>
    <t>INC000007992062</t>
  </si>
  <si>
    <t>INC000007993215</t>
  </si>
  <si>
    <t xml:space="preserve">se ve modulo de enrgia con probelmas.  Pero N2 turno noche no lo repara. </t>
  </si>
  <si>
    <t>servicio se ve afectado por corte de energia hace que se descarge UPS</t>
  </si>
  <si>
    <t>INC000008001521</t>
  </si>
  <si>
    <t>BRED en curso INC000008001323</t>
  </si>
  <si>
    <t>INC000008007938</t>
  </si>
  <si>
    <t>personal informa enlace cortado por vandalismo, área técnica realiza reparación de enlace y valida operatividad</t>
  </si>
  <si>
    <t xml:space="preserve">se ve modulo de enrgia con probelmas.  Cable desconectado. </t>
  </si>
  <si>
    <t>INC000008014415</t>
  </si>
  <si>
    <t>Planta CMPC Bocalemu  se encuentra sin energía en sus instalaciones,  el cual es un corte programado</t>
  </si>
  <si>
    <t>INC000008019631</t>
  </si>
  <si>
    <t>Afectado por BRED INC000008019831</t>
  </si>
  <si>
    <t>problema electrico en lugar</t>
  </si>
  <si>
    <t>INC000008024799</t>
  </si>
  <si>
    <t>INC000008029190</t>
  </si>
  <si>
    <t>Servicio se encuentra cortado afuera de la dependencia hay que cambiar la fibra cortada</t>
  </si>
  <si>
    <t xml:space="preserve">NC000008039682 </t>
  </si>
  <si>
    <t>INC000008037796</t>
  </si>
  <si>
    <t>servicio cae y sube sin intervencion</t>
  </si>
  <si>
    <t>Servicio cae y sube sin intervencion</t>
  </si>
  <si>
    <t>INC000008041219</t>
  </si>
  <si>
    <t>servicio afectado por BRED INC000008039452</t>
  </si>
  <si>
    <t>INC000008052041</t>
  </si>
  <si>
    <t>servicio se encuntra con corte electrico programado de 15:00 a 17:00</t>
  </si>
  <si>
    <t>INC000008055423</t>
  </si>
  <si>
    <t>servicio afecado por BRED INC000008056122</t>
  </si>
  <si>
    <t>INC000008059250</t>
  </si>
  <si>
    <t>INC000008058979</t>
  </si>
  <si>
    <t>INC000008058993</t>
  </si>
  <si>
    <t>INC000008064834</t>
  </si>
  <si>
    <t>INC000008065773</t>
  </si>
  <si>
    <t>INC000008065789</t>
  </si>
  <si>
    <t>INC000008065794</t>
  </si>
  <si>
    <t>INC000008069996</t>
  </si>
  <si>
    <t>INC000008071706</t>
  </si>
  <si>
    <t>Verificar en terreno si equipo esta intalado</t>
  </si>
  <si>
    <t>INC000008071771</t>
  </si>
  <si>
    <t>INC000008071819</t>
  </si>
  <si>
    <t>INC000008075645</t>
  </si>
  <si>
    <t>servicio afecado por BRED INC000008059607 Robo Linea electrica</t>
  </si>
  <si>
    <t>INC000008075673</t>
  </si>
  <si>
    <t>INC000008075665</t>
  </si>
  <si>
    <t>servicio afectado por BRED INC000008066428 robo line eléctrica</t>
  </si>
  <si>
    <t>INC000008077261</t>
  </si>
  <si>
    <t>servicio píerde adyacencia BGP</t>
  </si>
  <si>
    <t>INC000008078121</t>
  </si>
  <si>
    <t>INC000008078111</t>
  </si>
  <si>
    <t>INC000008078365</t>
  </si>
  <si>
    <t>INC000008079525</t>
  </si>
  <si>
    <t>Conversor de fibra quemado</t>
  </si>
  <si>
    <t xml:space="preserve">Problemas con Bateria </t>
  </si>
  <si>
    <t>INC000008086285</t>
  </si>
  <si>
    <t>Problemas con Bateria Duplicado de INC000008079525</t>
  </si>
  <si>
    <t>INC000008104480</t>
  </si>
  <si>
    <t xml:space="preserve">caida debido a trabajos en radio estacion. </t>
  </si>
  <si>
    <t xml:space="preserve">UPS con probelmas en bateria </t>
  </si>
  <si>
    <t>INC000008105581</t>
  </si>
  <si>
    <t>INC000008114140</t>
  </si>
  <si>
    <t>INC000008111623</t>
  </si>
  <si>
    <t xml:space="preserve">ESTE SITIO USA GRUPO ELCTROGENO </t>
  </si>
  <si>
    <t>servicio afectado por BRED INC000008112831</t>
  </si>
  <si>
    <t>INC000008114529</t>
  </si>
  <si>
    <t>Cliente bajo enlace en sus dependencia hasta 18:00  horas para realizar pruebas internas</t>
  </si>
  <si>
    <t>INC000008114532</t>
  </si>
  <si>
    <t>INC000008130669</t>
  </si>
  <si>
    <t>se detacta probelma en trama telefonica.  Se repara cableado entre central y conversor servicio operativo</t>
  </si>
  <si>
    <t xml:space="preserve">INC000008138889 </t>
  </si>
  <si>
    <t>Otros problemas // asociados a ENTEL</t>
  </si>
  <si>
    <t>Otros problemas // asociados a cliente</t>
  </si>
  <si>
    <t>INC000008152145</t>
  </si>
  <si>
    <t>Problema con puerto del SW donde se conecta UPS</t>
  </si>
  <si>
    <t>INC000008161370</t>
  </si>
  <si>
    <t>servicio afectado por BRED (choque en poste de fibra)</t>
  </si>
  <si>
    <t xml:space="preserve">Probelmas electricos en el sitio UPS (de ellos) del establecimiento dañada. </t>
  </si>
  <si>
    <t>INC000008169284</t>
  </si>
  <si>
    <t>INC000008178582</t>
  </si>
  <si>
    <t>servicio afectado por BRED INC000008180810 FO CONCEPCION ODF 3 FO 74 Cortado a los 2644 Mts afecta a cliente GENESYS</t>
  </si>
  <si>
    <t>INC000008197881</t>
  </si>
  <si>
    <t xml:space="preserve">Probelmas de telefonia, no tiene salida a la publica </t>
  </si>
  <si>
    <t>INC000008198590</t>
  </si>
  <si>
    <t>INC000008210855</t>
  </si>
  <si>
    <t xml:space="preserve">Se aprecia probelmas de intermitencia. </t>
  </si>
  <si>
    <t>Probelmas de telefonia, no hay llmadas entre anexos, falta de rutas hacia anexos de orange</t>
  </si>
  <si>
    <t>INC000008218075</t>
  </si>
  <si>
    <t>INC000008217678</t>
  </si>
  <si>
    <t>Servicio afectado por BRED INC000008218321: PUC -- 1LDX -- NODO C1-24-MULCHEN -- R1-2948-MULCHEN-PCS - ACSR-950D-A1-LSQ-MON-</t>
  </si>
  <si>
    <t>Problemas Electricos con UPS</t>
  </si>
  <si>
    <t xml:space="preserve">Energia electrica falla, UPS se activa sin caida de servicio. </t>
  </si>
  <si>
    <t>INC000008238857</t>
  </si>
  <si>
    <t xml:space="preserve">Servico cae y sube sin intervencion </t>
  </si>
  <si>
    <t>INC000008239640</t>
  </si>
  <si>
    <t>Corte de fibra en última milla</t>
  </si>
  <si>
    <t>INC000008244461</t>
  </si>
  <si>
    <t>Probelmas UPS</t>
  </si>
  <si>
    <t xml:space="preserve">UPS se descarga muy rapido </t>
  </si>
  <si>
    <t>Servicio cae por poblemas electrico (equipo con electrogeno)</t>
  </si>
  <si>
    <t>INC000008255080</t>
  </si>
  <si>
    <t>Flap en interfaz</t>
  </si>
  <si>
    <t xml:space="preserve">servicio caido se desconoce tema </t>
  </si>
  <si>
    <t>INC000008260207</t>
  </si>
  <si>
    <t>Cliente tenia probelmas con su FW, se descarta toda falla en la red entel .</t>
  </si>
  <si>
    <t>INC000008260413</t>
  </si>
  <si>
    <t>INC000008267547</t>
  </si>
  <si>
    <t>INC000008267607</t>
  </si>
  <si>
    <t>INC000008271403</t>
  </si>
  <si>
    <t>INC000008272527</t>
  </si>
  <si>
    <t xml:space="preserve">Problemas con UPS de cliente </t>
  </si>
  <si>
    <t>INC000008273227</t>
  </si>
  <si>
    <t>Problema con jumper optico</t>
  </si>
  <si>
    <t>Cliente indica tener problema en interfaz del SW01_SERVIDORES_10000372140. al revisar se valida que el probelma viene el otro lado de la interfaz g1/0/24</t>
  </si>
  <si>
    <t>Intermitencia en el servicio, caida del servicio por caida del nodo de acceso</t>
  </si>
  <si>
    <t>Intermitencia en el servicio XG</t>
  </si>
  <si>
    <t>INC000008280893</t>
  </si>
  <si>
    <t>INC000008281894</t>
  </si>
  <si>
    <t>Servico cae y sube sin intervencion (posible problema en red entel)</t>
  </si>
  <si>
    <t>Problmea para llamar a numero publicos. Pero trama es de cliente.</t>
  </si>
  <si>
    <t>INC000008287631</t>
  </si>
  <si>
    <t>INC000008286863</t>
  </si>
  <si>
    <t>servicio afectadop or BRED INC000008288362: PUC RG -- FO CABRERO - ODF 6 FO 55 - FO CORTADA a los 8230 metros desde R/E // Afecta</t>
  </si>
  <si>
    <t>Fibra Oscura sin servicio, afectado por degradacion se la fibra</t>
  </si>
  <si>
    <t>INC000008299398</t>
  </si>
  <si>
    <t>INC000008299395</t>
  </si>
  <si>
    <t>UPS sin conexión, posible problema con cableado</t>
  </si>
  <si>
    <t>servicio afectado por BRED INC000008301284</t>
  </si>
  <si>
    <t>Servicio afectado por problemas electricos UPS se descarga</t>
  </si>
  <si>
    <t>INC000008302495</t>
  </si>
  <si>
    <t xml:space="preserve">UPS se descarga por temas electricos </t>
  </si>
  <si>
    <t>INC000008310054</t>
  </si>
  <si>
    <t xml:space="preserve">UPS se encuentra desconectada de la red pero esta funcionando </t>
  </si>
  <si>
    <t>Servicio cae por poblemas electrico</t>
  </si>
  <si>
    <t>INC000008335733</t>
  </si>
  <si>
    <t>Servicio se vio afectado, pero sube sin intervencion</t>
  </si>
  <si>
    <t>INC000008341755</t>
  </si>
  <si>
    <t>INC000008341758</t>
  </si>
  <si>
    <t>Servicio afectado por BRED  INC000008342091</t>
  </si>
  <si>
    <t>Servicio afectado por BRED  INC000008342092</t>
  </si>
  <si>
    <t>Servicio afectado por BRED  INC000008342093</t>
  </si>
  <si>
    <t>Servicio afectado por BRED  INC000008342094</t>
  </si>
  <si>
    <t>Servicio afectado por BRED  INC000008342095</t>
  </si>
  <si>
    <t>Servicio afectado por BRED  INC000008342096</t>
  </si>
  <si>
    <t>INC000008341813</t>
  </si>
  <si>
    <t>INC000008342172</t>
  </si>
  <si>
    <t>INC000008342182</t>
  </si>
  <si>
    <t>INC000008342185</t>
  </si>
  <si>
    <t>IP</t>
  </si>
  <si>
    <t xml:space="preserve">INC000008351264 </t>
  </si>
  <si>
    <t>INC000008351449</t>
  </si>
  <si>
    <t>INC000008353317</t>
  </si>
  <si>
    <t>Servicio afectadopor BRED INC000008352801</t>
  </si>
  <si>
    <t>Se revisa enlace AVIAT por gestion remota y se detecta que tuvo un corte franco desde aprox las 16:30 a las 18:45 hrs. Ahora enlace OK, al parecer acida producto de falla energia en lado cliente.</t>
  </si>
  <si>
    <t>INC000008353320</t>
  </si>
  <si>
    <t>Servicio afectadopor BRED INC000008352802</t>
  </si>
  <si>
    <t xml:space="preserve">Se realiza configuracion solicitada por elimindacion de SVI vlan 220. pero esto no afectaria la HA del lso wlc. </t>
  </si>
  <si>
    <t>INC000008348269</t>
  </si>
  <si>
    <t xml:space="preserve">Se pide revisar trama y esta se encuentra caida. </t>
  </si>
  <si>
    <t>INC000008361581</t>
  </si>
  <si>
    <t xml:space="preserve">Servicio se vio afectado por un corte electrico y el SW core no estaba conectado a la UPS. UPS de porteria quemada. </t>
  </si>
  <si>
    <t>INC000008375562</t>
  </si>
  <si>
    <t>Servicio afectado por BRED INC000008377113. Fibra cortada hacia nodo de acceso.</t>
  </si>
  <si>
    <t>Problema UPS</t>
  </si>
  <si>
    <t>INC000008381499</t>
  </si>
  <si>
    <t xml:space="preserve">Servicio se vio afectado por conversores de fibra. </t>
  </si>
  <si>
    <t>CELULOSA-SANTA-FE-TELEFONIA-7096170001</t>
  </si>
  <si>
    <t>CMPC-A-EMP-CMPC-DC-AMU-SWITCH-CORE-9300-10000573525</t>
  </si>
  <si>
    <t>CMPC-PAPELES-EIRA-OSORNO-CORE-SW-10000138837</t>
  </si>
  <si>
    <t>CMPC-C-CEL-PACIFICO-RESP-10000022240</t>
  </si>
  <si>
    <t>CMPC-C-CEL-LAJA-PRIN-10000022234</t>
  </si>
  <si>
    <t>CMPC-C-CEL-MADERAS-PLYWOOD-PRIN-7853300001-RESP-GTD</t>
  </si>
  <si>
    <t>CMPC-C-CEL-SANTA-FE-PRIN-10000058781-RESP-GTD</t>
  </si>
  <si>
    <t>CMPC-D-BIO-SOREPA-ANTOFAGASTA-PRIN-6999070001-RESP-GTD</t>
  </si>
  <si>
    <t>CMPC-D-TERCEROS-GENESYS-UNIC-7016120002</t>
  </si>
  <si>
    <t>CMPC-B-CEL-MADERAS-LOS-ANGELES-ED-CORP-PRIN-10000396994-RESP-GTD</t>
  </si>
  <si>
    <t>CMPC-D-BIO-SOREPA-ANTOFAGASTA-UPS-10000581382</t>
  </si>
  <si>
    <t>CMPC-D-CEL-FORESTAL-COYHAIQUE-UNIC-10000000427</t>
  </si>
  <si>
    <t>CMPC-D-CEL-MADERAS-PAILLIHUE-VIVERO-CDOUGLAS-UNIC-10000002550</t>
  </si>
  <si>
    <t>CMPC-PAPELES-EIRA-OSORNO-PORT-UPS-10000372568</t>
  </si>
  <si>
    <t>INC000008401837</t>
  </si>
  <si>
    <t>Incidencia de mejora</t>
  </si>
  <si>
    <t>Probelma electrico, descarga total de la UPS</t>
  </si>
  <si>
    <t>INC000008408703</t>
  </si>
  <si>
    <t xml:space="preserve">Servicio afectado por BRED </t>
  </si>
  <si>
    <t>INC000008408786</t>
  </si>
  <si>
    <t xml:space="preserve"> INC000008413001</t>
  </si>
  <si>
    <t>Probelma electrico.</t>
  </si>
  <si>
    <t>INC000008417110</t>
  </si>
  <si>
    <t xml:space="preserve">Probelmas con la telefonia, caida de la trama por parte de movistar </t>
  </si>
  <si>
    <t xml:space="preserve">INC SE CANCELA. Varias UPS de OSORNO estan sin adminsitracion se enviara a trreno un tecnico para tomar control de estas nuevamente. ATT no tenia el cable se reabira INC </t>
  </si>
  <si>
    <t xml:space="preserve">Problem en interfaz con intermitencia </t>
  </si>
  <si>
    <t>Servicio afectado por BRED INC00000841827, problema con ONT</t>
  </si>
  <si>
    <t>INC000008418166</t>
  </si>
  <si>
    <t>INC000008418887</t>
  </si>
  <si>
    <t>Caida Interfaz</t>
  </si>
  <si>
    <t>INC000008419165</t>
  </si>
  <si>
    <t>Servicio afectado por BRED, INC000008414255: PUC -- 1LDX -- Nodos S1-53-SANTO-TOMAS-PCS,  S1-53-NEGRETE-PCS sin conexió</t>
  </si>
  <si>
    <t xml:space="preserve">Se visualiza interfaz Po41 DOWN, Esto debido a actualizacion del F5. </t>
  </si>
  <si>
    <t>INC000008419207</t>
  </si>
  <si>
    <t>INC000008419419</t>
  </si>
  <si>
    <t>INC000008419560</t>
  </si>
  <si>
    <t>Servicio afectado por BRED INC000008414255: PUC -- 1LDX -- Nodos S1-53-SANTO-TOMAS-PCS,  S1-53-NEGRETE-PCS sin conexión</t>
  </si>
  <si>
    <t>INC000008423215</t>
  </si>
  <si>
    <t>Servicio afectado por BRED INC000008415742, problema con ONT</t>
  </si>
  <si>
    <t>Servicio afectado por BRED INC000008427849</t>
  </si>
  <si>
    <t>INC000008427977</t>
  </si>
  <si>
    <t>INC000008433658</t>
  </si>
  <si>
    <t>INC000000037791</t>
  </si>
  <si>
    <t xml:space="preserve">servicio afectado por electricidad, descarga total de la UPS </t>
  </si>
  <si>
    <t>Varias UPS de OSORNO estan sin adminsitracion se enviara a trreno un tecnico para tomar control de estas nuevamente.</t>
  </si>
  <si>
    <t xml:space="preserve">Probelma fisico con un telefono, se enviara tecnico para su revision. Tecnico indica probelma en cableado de cliente. </t>
  </si>
  <si>
    <t>INC000008479143</t>
  </si>
  <si>
    <t>INC000008479146</t>
  </si>
  <si>
    <t>INC000008478504</t>
  </si>
  <si>
    <t>INC000008489323</t>
  </si>
  <si>
    <t>Servicio caido afectado por BRED  INC000008488910. NODO R1-24-CABRERO-LAJA2-PCS -- SIN CONEXIÓN</t>
  </si>
  <si>
    <t>INC000008495086</t>
  </si>
  <si>
    <t xml:space="preserve">Servicio Down interfaz del NODO se encuentra DOWN. Se encontro problemas con el cableado en radio estacion. </t>
  </si>
  <si>
    <t>INC000008500568</t>
  </si>
  <si>
    <t>INC000008505942</t>
  </si>
  <si>
    <t>Servicio cae y sube sin intervencion.</t>
  </si>
  <si>
    <t>INC000008512575</t>
  </si>
  <si>
    <t>Interfaz del NODO DOWN</t>
  </si>
  <si>
    <t>INC000008511278</t>
  </si>
  <si>
    <t>servicio afectado por BRED INC000008512110</t>
  </si>
  <si>
    <t>INC000008517219</t>
  </si>
  <si>
    <t xml:space="preserve">Servicio cae y se restablece si intervencion. </t>
  </si>
  <si>
    <t>INC000008517618</t>
  </si>
  <si>
    <t>Servicio afectado por BRED INC000008517932</t>
  </si>
  <si>
    <t>INC000008517765</t>
  </si>
  <si>
    <t xml:space="preserve">Servicio afectado por corte de energia programado. </t>
  </si>
  <si>
    <t>INC000008518316</t>
  </si>
  <si>
    <t>servicio afectado por BRED INC000008517957</t>
  </si>
  <si>
    <t>INC000008519094</t>
  </si>
  <si>
    <t>servicio afectado por BRED  INC000008519369, probelmas en las configuraciones de interfaz del NODO</t>
  </si>
  <si>
    <t>servicio se encuentra con corte de fibra en ultima milla. BRED INC000008501082 (CORTE PROBOCADO POR VANDALISMO)</t>
  </si>
  <si>
    <t>INC000008524047</t>
  </si>
  <si>
    <t>servicio afectado por BRED INC000008523968</t>
  </si>
  <si>
    <t>INC000008528712</t>
  </si>
  <si>
    <t>Servicio afectado por trabajos programados TP1786746</t>
  </si>
  <si>
    <t>INC000008528713</t>
  </si>
  <si>
    <t>INC000008528959</t>
  </si>
  <si>
    <t>Servicio afectado por trabajos programados TP1786747</t>
  </si>
  <si>
    <t>Servicio afectado por trabajos programados TP1786748</t>
  </si>
  <si>
    <t>INC000008528960</t>
  </si>
  <si>
    <t>INC000008532519</t>
  </si>
  <si>
    <t xml:space="preserve">servicio afectado por corte programado por cliente. </t>
  </si>
  <si>
    <t>INC000008538123</t>
  </si>
  <si>
    <t>Caida de Interfaz</t>
  </si>
  <si>
    <t>Interfaz callo por que cliente estaba haciendo trabajos internos con equipos de OT</t>
  </si>
  <si>
    <t>INC000008544810</t>
  </si>
  <si>
    <t>INC000008544812</t>
  </si>
  <si>
    <t>INC000008544813</t>
  </si>
  <si>
    <t>INC000008544972</t>
  </si>
  <si>
    <t>INC000008545030</t>
  </si>
  <si>
    <t>INC000008545114</t>
  </si>
  <si>
    <t xml:space="preserve">Servicio afectado por BRED INC000008544408. </t>
  </si>
  <si>
    <t>servicio se ve afectado por corte electrico y descarga total de la UPS</t>
  </si>
  <si>
    <t>INC000008555409</t>
  </si>
  <si>
    <t xml:space="preserve">Servicio presenta intermitencia, debido a problemas electricos en RADIO ESTACION, a las 9:00 del dia 03/12/2025 restablecen servicio. </t>
  </si>
  <si>
    <t>INC000008565339</t>
  </si>
  <si>
    <t xml:space="preserve">Equipo no critico (este equipo va de salida), se enciontro probelmas en el cableado hacia equipos. </t>
  </si>
  <si>
    <t xml:space="preserve">INC000008570309 </t>
  </si>
  <si>
    <t xml:space="preserve">servicio afectado por probelmas electrico descarga total de la UPS. </t>
  </si>
  <si>
    <t>INC000008570815</t>
  </si>
  <si>
    <t>Servicio presenta intermitencia, debido a problemas electricos en RADIO ESTACION</t>
  </si>
  <si>
    <t>INC000008589058</t>
  </si>
  <si>
    <t>Servicio afectadopor BRED INC000008588853</t>
  </si>
  <si>
    <t>INC000008597295</t>
  </si>
  <si>
    <t xml:space="preserve">UPS bloqueada. Tecnico acude al lugar y la reinicia. </t>
  </si>
  <si>
    <t>INC000008623066</t>
  </si>
  <si>
    <t>INC000008626398</t>
  </si>
  <si>
    <t>INC000008628746</t>
  </si>
  <si>
    <t>servicio afectadopor BRED INC000008628595</t>
  </si>
  <si>
    <t>INC000008631361</t>
  </si>
  <si>
    <t>INC000008631372</t>
  </si>
  <si>
    <t>servicio afectadopor BRED INC000008631281</t>
  </si>
  <si>
    <t>servicio afectadopor BRED INC000008631282</t>
  </si>
  <si>
    <t>INC000008631821</t>
  </si>
  <si>
    <t>INC000008634975</t>
  </si>
  <si>
    <t>servicio afectadopor BRED INC000008635310</t>
  </si>
  <si>
    <t>INC000008644564</t>
  </si>
  <si>
    <t>INC000008644873</t>
  </si>
  <si>
    <t xml:space="preserve">servicio cae y sube sin intervencion por parte de entel. </t>
  </si>
  <si>
    <t>problema no se encuentra en pacifico se estará revisando planta plywood</t>
  </si>
  <si>
    <t>INC000008651561</t>
  </si>
  <si>
    <t>INC000008656999</t>
  </si>
  <si>
    <t xml:space="preserve">Sin Incidente </t>
  </si>
  <si>
    <t>Servicio afectado por energia por que trabaja con grupo electrogeno</t>
  </si>
  <si>
    <t>INC000008671123</t>
  </si>
  <si>
    <t xml:space="preserve">Lentitud </t>
  </si>
  <si>
    <t xml:space="preserve">Servicio afectado por BRED INC000008670646 , lentitud del servicio por saturacion en NODO de acceso. </t>
  </si>
  <si>
    <t>Problema electrico</t>
  </si>
  <si>
    <t>INC000008674127</t>
  </si>
  <si>
    <t xml:space="preserve">CMPC en su monitoreo indica que ups supera su humbral de temperatuta es necesario revisar estado de esta. </t>
  </si>
  <si>
    <t>Operativo con probelmas</t>
  </si>
  <si>
    <t>INC000008676769</t>
  </si>
  <si>
    <t xml:space="preserve">se valida probelma entre la tarjeta de red y la ups no hay comunicación entre esto. </t>
  </si>
  <si>
    <t>INC000008679323</t>
  </si>
  <si>
    <t>Se verifica interfaz del NODO DOWN, servicio afectado por BRED INC000008680327.</t>
  </si>
  <si>
    <t>servicio afectado por UPS no toma carga</t>
  </si>
  <si>
    <t>INC000008687605</t>
  </si>
  <si>
    <t>INC000008687932</t>
  </si>
  <si>
    <t>INC000008687713</t>
  </si>
  <si>
    <t>INC000008688165</t>
  </si>
  <si>
    <t>Equipos afectado por Probelmas electricos en el sitio, ups se descarga en su totalidad</t>
  </si>
  <si>
    <t>INC000008689181</t>
  </si>
  <si>
    <t>INC000008682724</t>
  </si>
  <si>
    <t>Servicio afectrado por BRED INC000008689178, se aprecia CRC entre NODO de acceso. Se cambia a la interfaz de respaldo y no se aprecia crc</t>
  </si>
  <si>
    <t>INC000008694036</t>
  </si>
  <si>
    <t>INC000008697784</t>
  </si>
  <si>
    <t>INC000008697787</t>
  </si>
  <si>
    <t>INC000008697971</t>
  </si>
  <si>
    <t>Se aprecia caída del nodo por energía S1-53-MININCO-PCS. Este sube sin intervención no se genera BRED</t>
  </si>
  <si>
    <t>Se aprecia caída del nodo por corte de fibra en R1-2948-CANETE. BRED INC000008697983</t>
  </si>
  <si>
    <t>Se aprecia log de potencia con fibra baja -16dbm, se envia tecnico para validar estado de la potencia de la fibra. Se limipia de copla y potencia se restablece.</t>
  </si>
  <si>
    <t xml:space="preserve">Servicio afectado por energia en el sitio </t>
  </si>
  <si>
    <t>INC000008714147</t>
  </si>
  <si>
    <t>Servicio afectado por BRED INC000008712823. corte de fibra.</t>
  </si>
  <si>
    <t>INC000008723161</t>
  </si>
  <si>
    <t>Servicio afectado por BRED INC000008723380. corte de fibra.</t>
  </si>
  <si>
    <t>INC000008723193</t>
  </si>
  <si>
    <t>Servicio afectado por BRED INC000008723374. servicio se encuentra con saturacion en NODO de accesos</t>
  </si>
  <si>
    <t>INC000008714471</t>
  </si>
  <si>
    <t>Servicio afectado bloqueo de puerta den el NODO de acceso, se reinicia y servicio se restablece.</t>
  </si>
  <si>
    <t>INC000008714281</t>
  </si>
  <si>
    <t xml:space="preserve">Servicio sube sin intervencion de terceros. </t>
  </si>
  <si>
    <t>UPS perdio servicio de RED pero esta sigue operando.</t>
  </si>
  <si>
    <t>INC000008730918</t>
  </si>
  <si>
    <t>INC000008735827</t>
  </si>
  <si>
    <t>Enlace tupo pequeña intermitencia en radio enlace(Clima posiblemente).</t>
  </si>
  <si>
    <t>INC000008733427</t>
  </si>
  <si>
    <t xml:space="preserve">servicio afectado por BRED INC000008734218 corte de fibra </t>
  </si>
  <si>
    <t>INC000008746711</t>
  </si>
  <si>
    <t xml:space="preserve">servicio afectado por BRED INC000008747080, problema electrico en radio estacion. </t>
  </si>
  <si>
    <t>INC000008748083</t>
  </si>
  <si>
    <t>Caída de servicio Se encontró modulo de fibra con problemas en radio estación. Se cambia y servicio se restablece. </t>
  </si>
  <si>
    <t>Servicio afectado por problemas electrico en sitio, se activa UPS</t>
  </si>
  <si>
    <t xml:space="preserve">Servicio afectado por problemas electrico en sitio, se activa UPS, pero este equipo no esta conectado a la UPS. </t>
  </si>
  <si>
    <t>INC000008752809</t>
  </si>
  <si>
    <t xml:space="preserve">Servicio afectado por BED INC000008753055, falla electrica en radio estacion. </t>
  </si>
  <si>
    <t>INC000008759068</t>
  </si>
  <si>
    <t>Servicio afectado por problemas electrico en sitio. Se encuentra problemas con red electrica en rack 
Cliente</t>
  </si>
  <si>
    <t>INC000008759243</t>
  </si>
  <si>
    <t xml:space="preserve">Servicio afectado por problemas electrico en sitio. </t>
  </si>
  <si>
    <t>INC000008759354</t>
  </si>
  <si>
    <t>INC000008759982</t>
  </si>
  <si>
    <t>Servicio afectado por problemas electrico en sitio.</t>
  </si>
  <si>
    <t>INC000008762601</t>
  </si>
  <si>
    <t>Se aprecia caida del servicio, Se revisa servicio conversor bloqueado se reinicia servicio operativo.</t>
  </si>
  <si>
    <t>INC000008765594</t>
  </si>
  <si>
    <t>INC000008765828</t>
  </si>
  <si>
    <t>INC000008765834</t>
  </si>
  <si>
    <t>servicio afectado por BRED  INC000008765770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</si>
</sst>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font>
    <font>
      <sz val="11"/>
      <color rgb="FF000000"/>
      <name val="Calibri"/>
      <family val="2"/>
      <scheme val="minor"/>
    </font>
    <font>
      <sz val="11"/>
      <name val="Calibri"/>
      <family val="2"/>
      <scheme val="minor"/>
    </font>
    <font>
      <sz val="8"/>
      <name val="Calibri"/>
      <family val="2"/>
      <scheme val="minor"/>
    </font>
    <font>
      <sz val="11"/>
      <color theme="0"/>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7">
    <xf numFmtId="0" fontId="0" fillId="0" borderId="0" xfId="0"/>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0" fontId="0" fillId="3" borderId="1" xfId="0" applyFill="1" applyBorder="1" applyAlignment="1">
      <alignment horizontal="left"/>
    </xf>
    <xf numFmtId="22" fontId="0" fillId="0" borderId="1" xfId="0" applyNumberFormat="1" applyBorder="1" applyAlignment="1">
      <alignment horizontal="left"/>
    </xf>
    <xf numFmtId="0" fontId="0" fillId="0" borderId="1" xfId="0" applyBorder="1" applyAlignment="1">
      <alignment horizontal="left" wrapText="1"/>
    </xf>
    <xf numFmtId="46" fontId="0" fillId="0" borderId="1" xfId="0" applyNumberFormat="1" applyBorder="1" applyAlignment="1">
      <alignment horizontal="left"/>
    </xf>
    <xf numFmtId="22" fontId="0" fillId="0" borderId="1" xfId="0" applyNumberFormat="1" applyBorder="1" applyAlignment="1">
      <alignment horizontal="left" wrapText="1"/>
    </xf>
    <xf numFmtId="20" fontId="0" fillId="0" borderId="0" xfId="0" applyNumberFormat="1"/>
    <xf numFmtId="18" fontId="0" fillId="0" borderId="0" xfId="0" applyNumberFormat="1"/>
    <xf numFmtId="22" fontId="0" fillId="3" borderId="1" xfId="0" applyNumberFormat="1" applyFill="1" applyBorder="1" applyAlignment="1">
      <alignment horizontal="left"/>
    </xf>
    <xf numFmtId="0" fontId="0" fillId="3" borderId="1" xfId="0" applyFill="1" applyBorder="1" applyAlignment="1">
      <alignment horizontal="left" wrapText="1"/>
    </xf>
    <xf numFmtId="0" fontId="0" fillId="0" borderId="1" xfId="0" applyBorder="1" applyAlignment="1">
      <alignment horizontal="left" vertical="center" wrapText="1"/>
    </xf>
    <xf numFmtId="0" fontId="0" fillId="0" borderId="0" xfId="0" applyAlignment="1">
      <alignment horizontal="left"/>
    </xf>
    <xf numFmtId="0" fontId="1" fillId="2" borderId="1" xfId="0" applyFont="1" applyFill="1" applyBorder="1" applyAlignment="1">
      <alignment horizontal="left" vertical="center"/>
    </xf>
    <xf numFmtId="22" fontId="0" fillId="0" borderId="0" xfId="0" applyNumberFormat="1"/>
    <xf numFmtId="0" fontId="0" fillId="0" borderId="2" xfId="0" applyBorder="1" applyAlignment="1">
      <alignment horizontal="left"/>
    </xf>
    <xf numFmtId="0" fontId="0" fillId="0" borderId="0" xfId="0" pivotButton="1"/>
    <xf numFmtId="1" fontId="0" fillId="0" borderId="0" xfId="0" applyNumberFormat="1"/>
    <xf numFmtId="0" fontId="3" fillId="2" borderId="1" xfId="0" applyFont="1" applyFill="1" applyBorder="1" applyAlignment="1">
      <alignment horizontal="right" vertical="center"/>
    </xf>
    <xf numFmtId="0" fontId="3" fillId="0" borderId="1" xfId="0" applyFont="1" applyBorder="1" applyAlignment="1">
      <alignment horizontal="right"/>
    </xf>
    <xf numFmtId="0" fontId="1" fillId="2" borderId="1" xfId="0" applyFont="1" applyFill="1" applyBorder="1" applyAlignment="1">
      <alignment horizontal="right" vertical="center"/>
    </xf>
    <xf numFmtId="0" fontId="0" fillId="0" borderId="1" xfId="0" applyBorder="1" applyAlignment="1">
      <alignment horizontal="right"/>
    </xf>
    <xf numFmtId="22" fontId="0" fillId="4" borderId="1" xfId="0" applyNumberFormat="1" applyFill="1" applyBorder="1" applyAlignment="1">
      <alignment horizontal="left"/>
    </xf>
    <xf numFmtId="0" fontId="0" fillId="4" borderId="1" xfId="0" applyFill="1" applyBorder="1"/>
    <xf numFmtId="0" fontId="3" fillId="4" borderId="1" xfId="0" applyFont="1" applyFill="1" applyBorder="1" applyAlignment="1">
      <alignment horizontal="right"/>
    </xf>
    <xf numFmtId="0" fontId="0" fillId="4" borderId="1" xfId="0" applyFill="1" applyBorder="1" applyAlignment="1">
      <alignment horizontal="left"/>
    </xf>
    <xf numFmtId="0" fontId="0" fillId="4" borderId="1" xfId="0" applyFill="1" applyBorder="1" applyAlignment="1">
      <alignment horizontal="left" wrapText="1"/>
    </xf>
    <xf numFmtId="22" fontId="0" fillId="4" borderId="1" xfId="0" applyNumberFormat="1" applyFill="1" applyBorder="1" applyAlignment="1">
      <alignment horizontal="right"/>
    </xf>
    <xf numFmtId="46" fontId="0" fillId="4" borderId="1" xfId="0" applyNumberFormat="1" applyFill="1" applyBorder="1" applyAlignment="1">
      <alignment horizontal="right"/>
    </xf>
    <xf numFmtId="0" fontId="3" fillId="0" borderId="1" xfId="0" applyFont="1" applyBorder="1" applyAlignment="1">
      <alignment horizontal="right" wrapText="1"/>
    </xf>
    <xf numFmtId="46" fontId="0" fillId="0" borderId="1" xfId="0" applyNumberFormat="1" applyBorder="1" applyAlignment="1">
      <alignment horizontal="right"/>
    </xf>
    <xf numFmtId="0" fontId="3" fillId="0" borderId="1" xfId="0" applyFont="1" applyBorder="1" applyAlignment="1">
      <alignment horizontal="right" vertical="top"/>
    </xf>
    <xf numFmtId="22" fontId="0" fillId="5" borderId="1" xfId="0" applyNumberFormat="1" applyFill="1" applyBorder="1" applyAlignment="1">
      <alignment horizontal="left"/>
    </xf>
    <xf numFmtId="0" fontId="0" fillId="5" borderId="1" xfId="0" applyFill="1" applyBorder="1" applyAlignment="1">
      <alignment horizontal="left"/>
    </xf>
    <xf numFmtId="0" fontId="3" fillId="5" borderId="1" xfId="0" applyFont="1" applyFill="1" applyBorder="1" applyAlignment="1">
      <alignment horizontal="right"/>
    </xf>
    <xf numFmtId="0" fontId="0" fillId="5" borderId="1" xfId="0" applyFill="1" applyBorder="1"/>
    <xf numFmtId="0" fontId="0" fillId="5" borderId="1" xfId="0" applyFill="1" applyBorder="1" applyAlignment="1">
      <alignment horizontal="left" wrapText="1"/>
    </xf>
    <xf numFmtId="46" fontId="0" fillId="5" borderId="1" xfId="0" applyNumberFormat="1" applyFill="1" applyBorder="1" applyAlignment="1">
      <alignment horizontal="right"/>
    </xf>
    <xf numFmtId="0" fontId="2" fillId="5" borderId="1" xfId="0" applyFont="1" applyFill="1" applyBorder="1"/>
    <xf numFmtId="21" fontId="0" fillId="5" borderId="1" xfId="0" applyNumberFormat="1" applyFill="1" applyBorder="1" applyAlignment="1">
      <alignment horizontal="left"/>
    </xf>
    <xf numFmtId="0" fontId="3" fillId="5" borderId="1" xfId="0" applyFont="1" applyFill="1" applyBorder="1"/>
    <xf numFmtId="0" fontId="0" fillId="5" borderId="0" xfId="0" applyFill="1"/>
    <xf numFmtId="22" fontId="0" fillId="0" borderId="1" xfId="0" applyNumberFormat="1" applyBorder="1" applyAlignment="1">
      <alignment horizontal="right" wrapText="1"/>
    </xf>
    <xf numFmtId="22" fontId="0" fillId="0" borderId="1" xfId="0" applyNumberFormat="1" applyBorder="1" applyAlignment="1">
      <alignment horizontal="right"/>
    </xf>
    <xf numFmtId="22" fontId="0" fillId="5" borderId="1" xfId="0" applyNumberFormat="1" applyFill="1" applyBorder="1" applyAlignment="1">
      <alignment horizontal="right"/>
    </xf>
    <xf numFmtId="22" fontId="0" fillId="4" borderId="1" xfId="0" applyNumberFormat="1" applyFill="1" applyBorder="1"/>
    <xf numFmtId="0" fontId="1" fillId="2" borderId="1" xfId="0" applyFont="1" applyFill="1" applyBorder="1" applyAlignment="1" applyProtection="1">
      <alignment horizontal="left" vertical="center"/>
    </xf>
    <xf numFmtId="0" fontId="5" fillId="2" borderId="1" xfId="0" applyFont="1" applyFill="1" applyBorder="1" applyAlignment="1" applyProtection="1">
      <alignment horizontal="right" vertical="center"/>
    </xf>
    <xf numFmtId="0" fontId="1" fillId="2" borderId="1" xfId="0" applyFont="1" applyFill="1" applyBorder="1" applyAlignment="1" applyProtection="1">
      <alignment horizontal="center" vertical="center"/>
    </xf>
    <xf numFmtId="0" fontId="1" fillId="2" borderId="1" xfId="0" applyFont="1" applyFill="1" applyBorder="1" applyAlignment="1" applyProtection="1">
      <alignment horizontal="right" vertical="center"/>
    </xf>
    <xf numFmtId="0" fontId="5" fillId="0" borderId="1" xfId="0" applyFont="1" applyBorder="1" applyProtection="1"/>
    <xf numFmtId="22" fontId="0" fillId="7" borderId="1" xfId="0" applyNumberFormat="1" applyFill="1" applyBorder="1" applyAlignment="1" applyProtection="1">
      <alignment horizontal="left"/>
    </xf>
    <xf numFmtId="0" fontId="0" fillId="7" borderId="1" xfId="0" applyFill="1" applyBorder="1" applyProtection="1"/>
    <xf numFmtId="0" fontId="3" fillId="7" borderId="1" xfId="0" applyFont="1" applyFill="1" applyBorder="1" applyAlignment="1" applyProtection="1">
      <alignment horizontal="right"/>
    </xf>
    <xf numFmtId="0" fontId="0" fillId="7" borderId="1" xfId="0" applyFill="1" applyBorder="1" applyAlignment="1" applyProtection="1">
      <alignment horizontal="left"/>
    </xf>
    <xf numFmtId="0" fontId="0" fillId="7" borderId="1" xfId="0" applyFill="1" applyBorder="1" applyAlignment="1" applyProtection="1">
      <alignment horizontal="left" wrapText="1"/>
    </xf>
    <xf numFmtId="46" fontId="0" fillId="7" borderId="1" xfId="0" applyNumberFormat="1" applyFill="1" applyBorder="1" applyAlignment="1" applyProtection="1">
      <alignment horizontal="right"/>
    </xf>
    <xf numFmtId="22" fontId="0" fillId="8" borderId="1" xfId="0" applyNumberFormat="1" applyFill="1" applyBorder="1" applyProtection="1"/>
    <xf numFmtId="0" fontId="0" fillId="8" borderId="1" xfId="0" applyFill="1" applyBorder="1" applyProtection="1"/>
    <xf numFmtId="0" fontId="0" fillId="8" borderId="1" xfId="0" applyFill="1" applyBorder="1" applyAlignment="1" applyProtection="1">
      <alignment horizontal="left"/>
    </xf>
    <xf numFmtId="0" fontId="0" fillId="8" borderId="1" xfId="0" applyFill="1" applyBorder="1" applyAlignment="1" applyProtection="1">
      <alignment horizontal="left" wrapText="1"/>
    </xf>
    <xf numFmtId="22" fontId="0" fillId="8" borderId="1" xfId="0" applyNumberFormat="1" applyFill="1" applyBorder="1" applyAlignment="1" applyProtection="1">
      <alignment horizontal="left"/>
    </xf>
    <xf numFmtId="46" fontId="0" fillId="8" borderId="1" xfId="0" applyNumberFormat="1" applyFill="1" applyBorder="1" applyAlignment="1" applyProtection="1">
      <alignment horizontal="right"/>
    </xf>
    <xf numFmtId="22" fontId="0" fillId="9" borderId="1" xfId="0" applyNumberFormat="1" applyFill="1" applyBorder="1" applyProtection="1"/>
    <xf numFmtId="0" fontId="0" fillId="9" borderId="1" xfId="0" applyFill="1" applyBorder="1" applyProtection="1"/>
    <xf numFmtId="0" fontId="0" fillId="9" borderId="1" xfId="0" applyFill="1" applyBorder="1" applyAlignment="1" applyProtection="1">
      <alignment horizontal="left"/>
    </xf>
    <xf numFmtId="0" fontId="0" fillId="9" borderId="1" xfId="0" applyFill="1" applyBorder="1" applyAlignment="1" applyProtection="1">
      <alignment horizontal="left" wrapText="1"/>
    </xf>
    <xf numFmtId="22" fontId="0" fillId="9" borderId="1" xfId="0" applyNumberFormat="1" applyFill="1" applyBorder="1" applyAlignment="1" applyProtection="1">
      <alignment horizontal="left"/>
    </xf>
    <xf numFmtId="46" fontId="0" fillId="9" borderId="1" xfId="0" applyNumberFormat="1" applyFill="1" applyBorder="1" applyAlignment="1" applyProtection="1">
      <alignment horizontal="right"/>
    </xf>
    <xf numFmtId="22" fontId="0" fillId="6" borderId="1" xfId="0" applyNumberFormat="1" applyFill="1" applyBorder="1" applyProtection="1"/>
    <xf numFmtId="0" fontId="0" fillId="6" borderId="1" xfId="0" applyFill="1" applyBorder="1" applyProtection="1"/>
    <xf numFmtId="0" fontId="0" fillId="6" borderId="1" xfId="0" applyFill="1" applyBorder="1" applyAlignment="1" applyProtection="1">
      <alignment horizontal="left"/>
    </xf>
    <xf numFmtId="0" fontId="0" fillId="6" borderId="1" xfId="0" applyFill="1" applyBorder="1" applyAlignment="1" applyProtection="1">
      <alignment horizontal="left" wrapText="1"/>
    </xf>
    <xf numFmtId="46" fontId="0" fillId="6" borderId="1" xfId="0" applyNumberFormat="1" applyFill="1" applyBorder="1" applyAlignment="1" applyProtection="1">
      <alignment horizontal="right"/>
    </xf>
    <xf numFmtId="22" fontId="0" fillId="7" borderId="1" xfId="0" applyNumberFormat="1" applyFill="1" applyBorder="1" applyProtection="1"/>
    <xf numFmtId="0" fontId="0" fillId="0" borderId="0" xfId="0" applyProtection="1"/>
    <xf numFmtId="0" fontId="0" fillId="8" borderId="1" xfId="0" applyFill="1" applyBorder="1" applyAlignment="1" applyProtection="1">
      <alignment wrapText="1"/>
    </xf>
    <xf numFmtId="46" fontId="0" fillId="0" borderId="1" xfId="0" applyNumberFormat="1" applyBorder="1" applyAlignment="1" applyProtection="1">
      <alignment horizontal="right"/>
    </xf>
    <xf numFmtId="0" fontId="0" fillId="10" borderId="1" xfId="0" applyFill="1" applyBorder="1" applyProtection="1"/>
    <xf numFmtId="0" fontId="0" fillId="10" borderId="1" xfId="0" applyFill="1" applyBorder="1" applyAlignment="1" applyProtection="1">
      <alignment wrapText="1"/>
    </xf>
    <xf numFmtId="0" fontId="0" fillId="10" borderId="1" xfId="0" applyFill="1" applyBorder="1" applyAlignment="1" applyProtection="1">
      <alignment horizontal="left" wrapText="1"/>
    </xf>
    <xf numFmtId="46" fontId="0" fillId="10" borderId="1" xfId="0" applyNumberFormat="1" applyFill="1" applyBorder="1" applyAlignment="1" applyProtection="1">
      <alignment horizontal="right"/>
    </xf>
    <xf numFmtId="46" fontId="0" fillId="0" borderId="3" xfId="0" applyNumberFormat="1" applyBorder="1" applyAlignment="1" applyProtection="1">
      <alignment horizontal="right"/>
    </xf>
    <xf numFmtId="22" fontId="0" fillId="10" borderId="1" xfId="0" applyNumberFormat="1" applyFill="1" applyBorder="1" applyProtection="1"/>
    <xf numFmtId="0" fontId="0" fillId="6" borderId="1" xfId="0" applyFill="1" applyBorder="1" applyAlignment="1" applyProtection="1">
      <alignment wrapText="1"/>
    </xf>
  </cellXfs>
  <cellStyles count="1">
    <cellStyle name="Normal"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de Eventos.xlsx]Hoja5!TablaDinámica12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Responsabilidad caidas servicios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L"/>
            </a:p>
          </c:txPr>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Hoja5!$F$3</c:f>
              <c:strCache>
                <c:ptCount val="1"/>
                <c:pt idx="0">
                  <c:v>Total</c:v>
                </c:pt>
              </c:strCache>
            </c:strRef>
          </c:tx>
          <c:spPr>
            <a:solidFill>
              <a:schemeClr val="accent6"/>
            </a:solidFill>
          </c:spPr>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CB1-41AA-B50B-B63D0DD31527}"/>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CB1-41AA-B50B-B63D0DD315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L"/>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xForSave val="1"/>
              </c:ext>
            </c:extLst>
          </c:dLbls>
          <c:cat>
            <c:strRef>
              <c:f>Hoja5!$E$4:$E$6</c:f>
              <c:strCache>
                <c:ptCount val="2"/>
                <c:pt idx="0">
                  <c:v>Cliente</c:v>
                </c:pt>
                <c:pt idx="1">
                  <c:v>Entel</c:v>
                </c:pt>
              </c:strCache>
            </c:strRef>
          </c:cat>
          <c:val>
            <c:numRef>
              <c:f>Hoja5!$F$4:$F$6</c:f>
              <c:numCache>
                <c:formatCode>General</c:formatCode>
                <c:ptCount val="2"/>
                <c:pt idx="0">
                  <c:v>8</c:v>
                </c:pt>
                <c:pt idx="1">
                  <c:v>12</c:v>
                </c:pt>
              </c:numCache>
            </c:numRef>
          </c:val>
          <c:extLst>
            <c:ext xmlns:c16="http://schemas.microsoft.com/office/drawing/2014/chart" uri="{C3380CC4-5D6E-409C-BE32-E72D297353CC}">
              <c16:uniqueId val="{00000005-BCB1-41AA-B50B-B63D0DD31527}"/>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L"/>
              <a:t>Estado Servicio General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L"/>
        </a:p>
      </c:txPr>
    </c:title>
    <c:autoTitleDeleted val="0"/>
    <c:plotArea>
      <c:layout/>
      <c:doughnutChart>
        <c:varyColors val="1"/>
        <c:ser>
          <c:idx val="0"/>
          <c:order val="0"/>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A4-4E1C-B007-569AB9B30591}"/>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4A4-4E1C-B007-569AB9B305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Hoja5!$E$16:$F$16</c:f>
              <c:strCache>
                <c:ptCount val="2"/>
                <c:pt idx="0">
                  <c:v>FALLAS </c:v>
                </c:pt>
                <c:pt idx="1">
                  <c:v>Equipos Operativos</c:v>
                </c:pt>
              </c:strCache>
            </c:strRef>
          </c:cat>
          <c:val>
            <c:numRef>
              <c:f>Hoja5!$E$17:$F$17</c:f>
              <c:numCache>
                <c:formatCode>General</c:formatCode>
                <c:ptCount val="2"/>
                <c:pt idx="0">
                  <c:v>18</c:v>
                </c:pt>
                <c:pt idx="1">
                  <c:v>107</c:v>
                </c:pt>
              </c:numCache>
            </c:numRef>
          </c:val>
          <c:extLst>
            <c:ext xmlns:c16="http://schemas.microsoft.com/office/drawing/2014/chart" uri="{C3380CC4-5D6E-409C-BE32-E72D297353CC}">
              <c16:uniqueId val="{00000000-B4A4-4E1C-B007-569AB9B3059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de Eventos.xlsx]Hoja5!TablaDinámica14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FALLAS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L"/>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rgbClr val="FF0000"/>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Hoja5!$I$3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F9-435D-B87C-807B309A9E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F9-435D-B87C-807B309A9E5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F9-435D-B87C-807B309A9E5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F9-435D-B87C-807B309A9E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L"/>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Hoja5!$H$4:$H$8</c:f>
              <c:strCache>
                <c:ptCount val="4"/>
                <c:pt idx="0">
                  <c:v>BRED // NODO DE ACCESO</c:v>
                </c:pt>
                <c:pt idx="1">
                  <c:v>Otros problemas // asociados a cliente</c:v>
                </c:pt>
                <c:pt idx="2">
                  <c:v>Otros problemas // asociados a ENTEL</c:v>
                </c:pt>
                <c:pt idx="3">
                  <c:v>Problemas electricos</c:v>
                </c:pt>
              </c:strCache>
            </c:strRef>
          </c:cat>
          <c:val>
            <c:numRef>
              <c:f>Hoja5!$I$4:$I$8</c:f>
              <c:numCache>
                <c:formatCode>General</c:formatCode>
                <c:ptCount val="4"/>
                <c:pt idx="0">
                  <c:v>9</c:v>
                </c:pt>
                <c:pt idx="1">
                  <c:v>2</c:v>
                </c:pt>
                <c:pt idx="2">
                  <c:v>3</c:v>
                </c:pt>
                <c:pt idx="3">
                  <c:v>5</c:v>
                </c:pt>
              </c:numCache>
            </c:numRef>
          </c:val>
          <c:extLst>
            <c:ext xmlns:c16="http://schemas.microsoft.com/office/drawing/2014/chart" uri="{C3380CC4-5D6E-409C-BE32-E72D297353CC}">
              <c16:uniqueId val="{00000008-3BB1-44F9-A6B7-F7BFCCE4384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de Eventos.xlsx]Hoja5!TablaDinámica17</c:name>
    <c:fmtId val="1"/>
  </c:pivotSource>
  <c:chart>
    <c:autoTitleDeleted val="0"/>
    <c:pivotFmts>
      <c:pivotFmt>
        <c:idx val="0"/>
        <c:spPr>
          <a:solidFill>
            <a:schemeClr val="accent6"/>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pivotFmt>
      <c:pivotFmt>
        <c:idx val="36"/>
        <c:spPr>
          <a:solidFill>
            <a:schemeClr val="accent1"/>
          </a:solidFill>
          <a:ln>
            <a:noFill/>
          </a:ln>
          <a:effectLst/>
          <a:sp3d/>
        </c:spPr>
        <c:marker>
          <c:symbol val="none"/>
        </c:marker>
      </c:pivotFmt>
      <c:pivotFmt>
        <c:idx val="37"/>
        <c:spPr>
          <a:solidFill>
            <a:schemeClr val="accent1"/>
          </a:solidFill>
          <a:ln>
            <a:noFill/>
          </a:ln>
          <a:effectLst/>
          <a:sp3d/>
        </c:spPr>
        <c:marker>
          <c:symbol val="none"/>
        </c:marker>
      </c:pivotFmt>
      <c:pivotFmt>
        <c:idx val="38"/>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Hoja5!$L$3:$L$4</c:f>
              <c:strCache>
                <c:ptCount val="1"/>
                <c:pt idx="0">
                  <c:v>BRED // NODO DE ACCESO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Hoja5!$K$5:$K$23</c:f>
              <c:strCache>
                <c:ptCount val="18"/>
                <c:pt idx="0">
                  <c:v>CMPC-C-CEL-SANTA-FE-PRIN-10000058781-RESP-GTD</c:v>
                </c:pt>
                <c:pt idx="1">
                  <c:v>CMPC-A-EMP-CMPC-DC-AMU-SWITCH-CORE-9300-10000573525</c:v>
                </c:pt>
                <c:pt idx="2">
                  <c:v>CMPC-PAPELES-EIRA-OSORNO-PORT-UPS-10000372568</c:v>
                </c:pt>
                <c:pt idx="3">
                  <c:v>CMPC-D-BIO-SOREPA-ANTOFAGASTA-UPS-10000581382</c:v>
                </c:pt>
                <c:pt idx="4">
                  <c:v>CMPC-C-CEL-LAJA-PRIN-10000022234</c:v>
                </c:pt>
                <c:pt idx="5">
                  <c:v>CMPC-D-CEL-CAPITAN-PASTENE-UNIC-10000514345</c:v>
                </c:pt>
                <c:pt idx="6">
                  <c:v>CMPC-C-CEL-PACIFICO-PRIN-10000058627</c:v>
                </c:pt>
                <c:pt idx="7">
                  <c:v>CMPC-D-CEL-FORESTAL-COYHAIQUE-UNIC-10000000427</c:v>
                </c:pt>
                <c:pt idx="8">
                  <c:v>CELULOSA-SANTA-FE-TELEFONIA-7096170001</c:v>
                </c:pt>
                <c:pt idx="9">
                  <c:v>CMPC-D-CEL-MADERAS-BUCALEMU-PRIN-10000000824-RESP-GTD</c:v>
                </c:pt>
                <c:pt idx="10">
                  <c:v>CMPC-C-CEL-MADERAS-PLANTA-CLEAR-PRIN-10000000822-RESP-GTD</c:v>
                </c:pt>
                <c:pt idx="11">
                  <c:v>CMPC-D-CEL-MADERAS-PAILLIHUE-VIVERO-CDOUGLAS-UNIC-10000002550</c:v>
                </c:pt>
                <c:pt idx="12">
                  <c:v>CMPC-B-CEL-MADERAS-LOS-ANGELES-ED-CORP-PRIN-10000396994-RESP-GTD</c:v>
                </c:pt>
                <c:pt idx="13">
                  <c:v>CMPC-D-TERCEROS-GENESYS-UNIC-7016120002</c:v>
                </c:pt>
                <c:pt idx="14">
                  <c:v>CMPC-C-CEL-PACIFICO-RESP-10000022240</c:v>
                </c:pt>
                <c:pt idx="15">
                  <c:v>CMPC-PAPELES-EIRA-OSORNO-CORE-SW-10000138837</c:v>
                </c:pt>
                <c:pt idx="16">
                  <c:v>CMPC-D-BIO-SOREPA-ANTOFAGASTA-PRIN-6999070001-RESP-GTD</c:v>
                </c:pt>
                <c:pt idx="17">
                  <c:v>CMPC-C-CEL-MADERAS-PLYWOOD-PRIN-7853300001-RESP-GTD</c:v>
                </c:pt>
              </c:strCache>
            </c:strRef>
          </c:cat>
          <c:val>
            <c:numRef>
              <c:f>Hoja5!$L$5:$L$23</c:f>
              <c:numCache>
                <c:formatCode>General</c:formatCode>
                <c:ptCount val="18"/>
                <c:pt idx="4">
                  <c:v>1</c:v>
                </c:pt>
                <c:pt idx="6">
                  <c:v>1</c:v>
                </c:pt>
                <c:pt idx="9">
                  <c:v>1</c:v>
                </c:pt>
                <c:pt idx="10">
                  <c:v>1</c:v>
                </c:pt>
                <c:pt idx="11">
                  <c:v>1</c:v>
                </c:pt>
                <c:pt idx="12">
                  <c:v>1</c:v>
                </c:pt>
                <c:pt idx="13">
                  <c:v>1</c:v>
                </c:pt>
                <c:pt idx="14">
                  <c:v>1</c:v>
                </c:pt>
                <c:pt idx="17">
                  <c:v>1</c:v>
                </c:pt>
              </c:numCache>
            </c:numRef>
          </c:val>
          <c:extLst>
            <c:ext xmlns:c16="http://schemas.microsoft.com/office/drawing/2014/chart" uri="{C3380CC4-5D6E-409C-BE32-E72D297353CC}">
              <c16:uniqueId val="{00000011-669E-4896-8311-521CCB3E735E}"/>
            </c:ext>
          </c:extLst>
        </c:ser>
        <c:ser>
          <c:idx val="1"/>
          <c:order val="1"/>
          <c:tx>
            <c:strRef>
              <c:f>Hoja5!$M$3:$M$4</c:f>
              <c:strCache>
                <c:ptCount val="1"/>
                <c:pt idx="0">
                  <c:v>Otros problemas // asociados a cliente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Hoja5!$K$5:$K$23</c:f>
              <c:strCache>
                <c:ptCount val="18"/>
                <c:pt idx="0">
                  <c:v>CMPC-C-CEL-SANTA-FE-PRIN-10000058781-RESP-GTD</c:v>
                </c:pt>
                <c:pt idx="1">
                  <c:v>CMPC-A-EMP-CMPC-DC-AMU-SWITCH-CORE-9300-10000573525</c:v>
                </c:pt>
                <c:pt idx="2">
                  <c:v>CMPC-PAPELES-EIRA-OSORNO-PORT-UPS-10000372568</c:v>
                </c:pt>
                <c:pt idx="3">
                  <c:v>CMPC-D-BIO-SOREPA-ANTOFAGASTA-UPS-10000581382</c:v>
                </c:pt>
                <c:pt idx="4">
                  <c:v>CMPC-C-CEL-LAJA-PRIN-10000022234</c:v>
                </c:pt>
                <c:pt idx="5">
                  <c:v>CMPC-D-CEL-CAPITAN-PASTENE-UNIC-10000514345</c:v>
                </c:pt>
                <c:pt idx="6">
                  <c:v>CMPC-C-CEL-PACIFICO-PRIN-10000058627</c:v>
                </c:pt>
                <c:pt idx="7">
                  <c:v>CMPC-D-CEL-FORESTAL-COYHAIQUE-UNIC-10000000427</c:v>
                </c:pt>
                <c:pt idx="8">
                  <c:v>CELULOSA-SANTA-FE-TELEFONIA-7096170001</c:v>
                </c:pt>
                <c:pt idx="9">
                  <c:v>CMPC-D-CEL-MADERAS-BUCALEMU-PRIN-10000000824-RESP-GTD</c:v>
                </c:pt>
                <c:pt idx="10">
                  <c:v>CMPC-C-CEL-MADERAS-PLANTA-CLEAR-PRIN-10000000822-RESP-GTD</c:v>
                </c:pt>
                <c:pt idx="11">
                  <c:v>CMPC-D-CEL-MADERAS-PAILLIHUE-VIVERO-CDOUGLAS-UNIC-10000002550</c:v>
                </c:pt>
                <c:pt idx="12">
                  <c:v>CMPC-B-CEL-MADERAS-LOS-ANGELES-ED-CORP-PRIN-10000396994-RESP-GTD</c:v>
                </c:pt>
                <c:pt idx="13">
                  <c:v>CMPC-D-TERCEROS-GENESYS-UNIC-7016120002</c:v>
                </c:pt>
                <c:pt idx="14">
                  <c:v>CMPC-C-CEL-PACIFICO-RESP-10000022240</c:v>
                </c:pt>
                <c:pt idx="15">
                  <c:v>CMPC-PAPELES-EIRA-OSORNO-CORE-SW-10000138837</c:v>
                </c:pt>
                <c:pt idx="16">
                  <c:v>CMPC-D-BIO-SOREPA-ANTOFAGASTA-PRIN-6999070001-RESP-GTD</c:v>
                </c:pt>
                <c:pt idx="17">
                  <c:v>CMPC-C-CEL-MADERAS-PLYWOOD-PRIN-7853300001-RESP-GTD</c:v>
                </c:pt>
              </c:strCache>
            </c:strRef>
          </c:cat>
          <c:val>
            <c:numRef>
              <c:f>Hoja5!$M$5:$M$23</c:f>
              <c:numCache>
                <c:formatCode>General</c:formatCode>
                <c:ptCount val="18"/>
                <c:pt idx="1">
                  <c:v>1</c:v>
                </c:pt>
                <c:pt idx="8">
                  <c:v>1</c:v>
                </c:pt>
              </c:numCache>
            </c:numRef>
          </c:val>
          <c:extLst>
            <c:ext xmlns:c16="http://schemas.microsoft.com/office/drawing/2014/chart" uri="{C3380CC4-5D6E-409C-BE32-E72D297353CC}">
              <c16:uniqueId val="{00000016-669E-4896-8311-521CCB3E735E}"/>
            </c:ext>
          </c:extLst>
        </c:ser>
        <c:ser>
          <c:idx val="2"/>
          <c:order val="2"/>
          <c:tx>
            <c:strRef>
              <c:f>Hoja5!$N$3:$N$4</c:f>
              <c:strCache>
                <c:ptCount val="1"/>
                <c:pt idx="0">
                  <c:v>Otros problemas // asociados a ENTEL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Hoja5!$K$5:$K$23</c:f>
              <c:strCache>
                <c:ptCount val="18"/>
                <c:pt idx="0">
                  <c:v>CMPC-C-CEL-SANTA-FE-PRIN-10000058781-RESP-GTD</c:v>
                </c:pt>
                <c:pt idx="1">
                  <c:v>CMPC-A-EMP-CMPC-DC-AMU-SWITCH-CORE-9300-10000573525</c:v>
                </c:pt>
                <c:pt idx="2">
                  <c:v>CMPC-PAPELES-EIRA-OSORNO-PORT-UPS-10000372568</c:v>
                </c:pt>
                <c:pt idx="3">
                  <c:v>CMPC-D-BIO-SOREPA-ANTOFAGASTA-UPS-10000581382</c:v>
                </c:pt>
                <c:pt idx="4">
                  <c:v>CMPC-C-CEL-LAJA-PRIN-10000022234</c:v>
                </c:pt>
                <c:pt idx="5">
                  <c:v>CMPC-D-CEL-CAPITAN-PASTENE-UNIC-10000514345</c:v>
                </c:pt>
                <c:pt idx="6">
                  <c:v>CMPC-C-CEL-PACIFICO-PRIN-10000058627</c:v>
                </c:pt>
                <c:pt idx="7">
                  <c:v>CMPC-D-CEL-FORESTAL-COYHAIQUE-UNIC-10000000427</c:v>
                </c:pt>
                <c:pt idx="8">
                  <c:v>CELULOSA-SANTA-FE-TELEFONIA-7096170001</c:v>
                </c:pt>
                <c:pt idx="9">
                  <c:v>CMPC-D-CEL-MADERAS-BUCALEMU-PRIN-10000000824-RESP-GTD</c:v>
                </c:pt>
                <c:pt idx="10">
                  <c:v>CMPC-C-CEL-MADERAS-PLANTA-CLEAR-PRIN-10000000822-RESP-GTD</c:v>
                </c:pt>
                <c:pt idx="11">
                  <c:v>CMPC-D-CEL-MADERAS-PAILLIHUE-VIVERO-CDOUGLAS-UNIC-10000002550</c:v>
                </c:pt>
                <c:pt idx="12">
                  <c:v>CMPC-B-CEL-MADERAS-LOS-ANGELES-ED-CORP-PRIN-10000396994-RESP-GTD</c:v>
                </c:pt>
                <c:pt idx="13">
                  <c:v>CMPC-D-TERCEROS-GENESYS-UNIC-7016120002</c:v>
                </c:pt>
                <c:pt idx="14">
                  <c:v>CMPC-C-CEL-PACIFICO-RESP-10000022240</c:v>
                </c:pt>
                <c:pt idx="15">
                  <c:v>CMPC-PAPELES-EIRA-OSORNO-CORE-SW-10000138837</c:v>
                </c:pt>
                <c:pt idx="16">
                  <c:v>CMPC-D-BIO-SOREPA-ANTOFAGASTA-PRIN-6999070001-RESP-GTD</c:v>
                </c:pt>
                <c:pt idx="17">
                  <c:v>CMPC-C-CEL-MADERAS-PLYWOOD-PRIN-7853300001-RESP-GTD</c:v>
                </c:pt>
              </c:strCache>
            </c:strRef>
          </c:cat>
          <c:val>
            <c:numRef>
              <c:f>Hoja5!$N$5:$N$23</c:f>
              <c:numCache>
                <c:formatCode>General</c:formatCode>
                <c:ptCount val="18"/>
                <c:pt idx="0">
                  <c:v>1</c:v>
                </c:pt>
                <c:pt idx="3">
                  <c:v>1</c:v>
                </c:pt>
                <c:pt idx="17">
                  <c:v>1</c:v>
                </c:pt>
              </c:numCache>
            </c:numRef>
          </c:val>
          <c:extLst>
            <c:ext xmlns:c16="http://schemas.microsoft.com/office/drawing/2014/chart" uri="{C3380CC4-5D6E-409C-BE32-E72D297353CC}">
              <c16:uniqueId val="{00000017-669E-4896-8311-521CCB3E735E}"/>
            </c:ext>
          </c:extLst>
        </c:ser>
        <c:ser>
          <c:idx val="3"/>
          <c:order val="3"/>
          <c:tx>
            <c:strRef>
              <c:f>Hoja5!$O$3:$O$4</c:f>
              <c:strCache>
                <c:ptCount val="1"/>
                <c:pt idx="0">
                  <c:v>Problemas electricos</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Hoja5!$K$5:$K$23</c:f>
              <c:strCache>
                <c:ptCount val="18"/>
                <c:pt idx="0">
                  <c:v>CMPC-C-CEL-SANTA-FE-PRIN-10000058781-RESP-GTD</c:v>
                </c:pt>
                <c:pt idx="1">
                  <c:v>CMPC-A-EMP-CMPC-DC-AMU-SWITCH-CORE-9300-10000573525</c:v>
                </c:pt>
                <c:pt idx="2">
                  <c:v>CMPC-PAPELES-EIRA-OSORNO-PORT-UPS-10000372568</c:v>
                </c:pt>
                <c:pt idx="3">
                  <c:v>CMPC-D-BIO-SOREPA-ANTOFAGASTA-UPS-10000581382</c:v>
                </c:pt>
                <c:pt idx="4">
                  <c:v>CMPC-C-CEL-LAJA-PRIN-10000022234</c:v>
                </c:pt>
                <c:pt idx="5">
                  <c:v>CMPC-D-CEL-CAPITAN-PASTENE-UNIC-10000514345</c:v>
                </c:pt>
                <c:pt idx="6">
                  <c:v>CMPC-C-CEL-PACIFICO-PRIN-10000058627</c:v>
                </c:pt>
                <c:pt idx="7">
                  <c:v>CMPC-D-CEL-FORESTAL-COYHAIQUE-UNIC-10000000427</c:v>
                </c:pt>
                <c:pt idx="8">
                  <c:v>CELULOSA-SANTA-FE-TELEFONIA-7096170001</c:v>
                </c:pt>
                <c:pt idx="9">
                  <c:v>CMPC-D-CEL-MADERAS-BUCALEMU-PRIN-10000000824-RESP-GTD</c:v>
                </c:pt>
                <c:pt idx="10">
                  <c:v>CMPC-C-CEL-MADERAS-PLANTA-CLEAR-PRIN-10000000822-RESP-GTD</c:v>
                </c:pt>
                <c:pt idx="11">
                  <c:v>CMPC-D-CEL-MADERAS-PAILLIHUE-VIVERO-CDOUGLAS-UNIC-10000002550</c:v>
                </c:pt>
                <c:pt idx="12">
                  <c:v>CMPC-B-CEL-MADERAS-LOS-ANGELES-ED-CORP-PRIN-10000396994-RESP-GTD</c:v>
                </c:pt>
                <c:pt idx="13">
                  <c:v>CMPC-D-TERCEROS-GENESYS-UNIC-7016120002</c:v>
                </c:pt>
                <c:pt idx="14">
                  <c:v>CMPC-C-CEL-PACIFICO-RESP-10000022240</c:v>
                </c:pt>
                <c:pt idx="15">
                  <c:v>CMPC-PAPELES-EIRA-OSORNO-CORE-SW-10000138837</c:v>
                </c:pt>
                <c:pt idx="16">
                  <c:v>CMPC-D-BIO-SOREPA-ANTOFAGASTA-PRIN-6999070001-RESP-GTD</c:v>
                </c:pt>
                <c:pt idx="17">
                  <c:v>CMPC-C-CEL-MADERAS-PLYWOOD-PRIN-7853300001-RESP-GTD</c:v>
                </c:pt>
              </c:strCache>
            </c:strRef>
          </c:cat>
          <c:val>
            <c:numRef>
              <c:f>Hoja5!$O$5:$O$23</c:f>
              <c:numCache>
                <c:formatCode>General</c:formatCode>
                <c:ptCount val="18"/>
                <c:pt idx="2">
                  <c:v>1</c:v>
                </c:pt>
                <c:pt idx="5">
                  <c:v>1</c:v>
                </c:pt>
                <c:pt idx="15">
                  <c:v>1</c:v>
                </c:pt>
                <c:pt idx="16">
                  <c:v>2</c:v>
                </c:pt>
              </c:numCache>
            </c:numRef>
          </c:val>
          <c:extLst>
            <c:ext xmlns:c16="http://schemas.microsoft.com/office/drawing/2014/chart" uri="{C3380CC4-5D6E-409C-BE32-E72D297353CC}">
              <c16:uniqueId val="{00000000-02E8-45A0-B2C6-E04B499F1FCC}"/>
            </c:ext>
          </c:extLst>
        </c:ser>
        <c:ser>
          <c:idx val="4"/>
          <c:order val="4"/>
          <c:tx>
            <c:strRef>
              <c:f>Hoja5!$P$3:$P$4</c:f>
              <c:strCache>
                <c:ptCount val="1"/>
                <c:pt idx="0">
                  <c:v>Problemas Electricos con UPS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Hoja5!$K$5:$K$23</c:f>
              <c:strCache>
                <c:ptCount val="18"/>
                <c:pt idx="0">
                  <c:v>CMPC-C-CEL-SANTA-FE-PRIN-10000058781-RESP-GTD</c:v>
                </c:pt>
                <c:pt idx="1">
                  <c:v>CMPC-A-EMP-CMPC-DC-AMU-SWITCH-CORE-9300-10000573525</c:v>
                </c:pt>
                <c:pt idx="2">
                  <c:v>CMPC-PAPELES-EIRA-OSORNO-PORT-UPS-10000372568</c:v>
                </c:pt>
                <c:pt idx="3">
                  <c:v>CMPC-D-BIO-SOREPA-ANTOFAGASTA-UPS-10000581382</c:v>
                </c:pt>
                <c:pt idx="4">
                  <c:v>CMPC-C-CEL-LAJA-PRIN-10000022234</c:v>
                </c:pt>
                <c:pt idx="5">
                  <c:v>CMPC-D-CEL-CAPITAN-PASTENE-UNIC-10000514345</c:v>
                </c:pt>
                <c:pt idx="6">
                  <c:v>CMPC-C-CEL-PACIFICO-PRIN-10000058627</c:v>
                </c:pt>
                <c:pt idx="7">
                  <c:v>CMPC-D-CEL-FORESTAL-COYHAIQUE-UNIC-10000000427</c:v>
                </c:pt>
                <c:pt idx="8">
                  <c:v>CELULOSA-SANTA-FE-TELEFONIA-7096170001</c:v>
                </c:pt>
                <c:pt idx="9">
                  <c:v>CMPC-D-CEL-MADERAS-BUCALEMU-PRIN-10000000824-RESP-GTD</c:v>
                </c:pt>
                <c:pt idx="10">
                  <c:v>CMPC-C-CEL-MADERAS-PLANTA-CLEAR-PRIN-10000000822-RESP-GTD</c:v>
                </c:pt>
                <c:pt idx="11">
                  <c:v>CMPC-D-CEL-MADERAS-PAILLIHUE-VIVERO-CDOUGLAS-UNIC-10000002550</c:v>
                </c:pt>
                <c:pt idx="12">
                  <c:v>CMPC-B-CEL-MADERAS-LOS-ANGELES-ED-CORP-PRIN-10000396994-RESP-GTD</c:v>
                </c:pt>
                <c:pt idx="13">
                  <c:v>CMPC-D-TERCEROS-GENESYS-UNIC-7016120002</c:v>
                </c:pt>
                <c:pt idx="14">
                  <c:v>CMPC-C-CEL-PACIFICO-RESP-10000022240</c:v>
                </c:pt>
                <c:pt idx="15">
                  <c:v>CMPC-PAPELES-EIRA-OSORNO-CORE-SW-10000138837</c:v>
                </c:pt>
                <c:pt idx="16">
                  <c:v>CMPC-D-BIO-SOREPA-ANTOFAGASTA-PRIN-6999070001-RESP-GTD</c:v>
                </c:pt>
                <c:pt idx="17">
                  <c:v>CMPC-C-CEL-MADERAS-PLYWOOD-PRIN-7853300001-RESP-GTD</c:v>
                </c:pt>
              </c:strCache>
            </c:strRef>
          </c:cat>
          <c:val>
            <c:numRef>
              <c:f>Hoja5!$P$5:$P$23</c:f>
              <c:numCache>
                <c:formatCode>General</c:formatCode>
                <c:ptCount val="18"/>
                <c:pt idx="7">
                  <c:v>1</c:v>
                </c:pt>
              </c:numCache>
            </c:numRef>
          </c:val>
          <c:extLst>
            <c:ext xmlns:c16="http://schemas.microsoft.com/office/drawing/2014/chart" uri="{C3380CC4-5D6E-409C-BE32-E72D297353CC}">
              <c16:uniqueId val="{00000001-02E8-45A0-B2C6-E04B499F1FCC}"/>
            </c:ext>
          </c:extLst>
        </c:ser>
        <c:dLbls>
          <c:showLegendKey val="0"/>
          <c:showVal val="1"/>
          <c:showCatName val="0"/>
          <c:showSerName val="0"/>
          <c:showPercent val="0"/>
          <c:showBubbleSize val="0"/>
        </c:dLbls>
        <c:gapWidth val="79"/>
        <c:shape val="box"/>
        <c:axId val="417167184"/>
        <c:axId val="417168144"/>
        <c:axId val="0"/>
      </c:bar3DChart>
      <c:catAx>
        <c:axId val="41716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L"/>
          </a:p>
        </c:txPr>
        <c:crossAx val="417168144"/>
        <c:crosses val="autoZero"/>
        <c:auto val="1"/>
        <c:lblAlgn val="ctr"/>
        <c:lblOffset val="100"/>
        <c:noMultiLvlLbl val="0"/>
      </c:catAx>
      <c:valAx>
        <c:axId val="417168144"/>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17167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733986</xdr:colOff>
      <xdr:row>25</xdr:row>
      <xdr:rowOff>130666</xdr:rowOff>
    </xdr:from>
    <xdr:to>
      <xdr:col>9</xdr:col>
      <xdr:colOff>496661</xdr:colOff>
      <xdr:row>48</xdr:row>
      <xdr:rowOff>190499</xdr:rowOff>
    </xdr:to>
    <xdr:graphicFrame macro="">
      <xdr:nvGraphicFramePr>
        <xdr:cNvPr id="3" name="Gráfico 2">
          <a:extLst>
            <a:ext uri="{FF2B5EF4-FFF2-40B4-BE49-F238E27FC236}">
              <a16:creationId xmlns:a16="http://schemas.microsoft.com/office/drawing/2014/main" id="{BD8EF856-B509-BC42-E9F0-09A2D3A6B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xdr:colOff>
      <xdr:row>1</xdr:row>
      <xdr:rowOff>212</xdr:rowOff>
    </xdr:from>
    <xdr:to>
      <xdr:col>12</xdr:col>
      <xdr:colOff>13607</xdr:colOff>
      <xdr:row>26</xdr:row>
      <xdr:rowOff>0</xdr:rowOff>
    </xdr:to>
    <xdr:graphicFrame macro="">
      <xdr:nvGraphicFramePr>
        <xdr:cNvPr id="6" name="Gráfico 5">
          <a:extLst>
            <a:ext uri="{FF2B5EF4-FFF2-40B4-BE49-F238E27FC236}">
              <a16:creationId xmlns:a16="http://schemas.microsoft.com/office/drawing/2014/main" id="{B68DAE3A-2842-9215-2B49-CE36EDFF2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480813</xdr:colOff>
      <xdr:row>1</xdr:row>
      <xdr:rowOff>57748</xdr:rowOff>
    </xdr:from>
    <xdr:to>
      <xdr:col>20</xdr:col>
      <xdr:colOff>214113</xdr:colOff>
      <xdr:row>26</xdr:row>
      <xdr:rowOff>44823</xdr:rowOff>
    </xdr:to>
    <xdr:graphicFrame macro="">
      <xdr:nvGraphicFramePr>
        <xdr:cNvPr id="7" name="Gráfico 6">
          <a:extLst>
            <a:ext uri="{FF2B5EF4-FFF2-40B4-BE49-F238E27FC236}">
              <a16:creationId xmlns:a16="http://schemas.microsoft.com/office/drawing/2014/main" id="{6F909FC5-C3C9-276F-9B47-DADE38C5D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479066</xdr:colOff>
      <xdr:row>25</xdr:row>
      <xdr:rowOff>171381</xdr:rowOff>
    </xdr:from>
    <xdr:to>
      <xdr:col>20</xdr:col>
      <xdr:colOff>212912</xdr:colOff>
      <xdr:row>49</xdr:row>
      <xdr:rowOff>9525</xdr:rowOff>
    </xdr:to>
    <xdr:graphicFrame macro="">
      <xdr:nvGraphicFramePr>
        <xdr:cNvPr id="4" name="Gráfico 3">
          <a:extLst>
            <a:ext uri="{FF2B5EF4-FFF2-40B4-BE49-F238E27FC236}">
              <a16:creationId xmlns:a16="http://schemas.microsoft.com/office/drawing/2014/main" id="{752C42A9-79D7-CF6B-4C95-1ED0ABD86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996202</xdr:colOff>
      <xdr:row>13</xdr:row>
      <xdr:rowOff>109818</xdr:rowOff>
    </xdr:from>
    <xdr:to>
      <xdr:col>7</xdr:col>
      <xdr:colOff>1816472</xdr:colOff>
      <xdr:row>26</xdr:row>
      <xdr:rowOff>157443</xdr:rowOff>
    </xdr:to>
    <mc:AlternateContent xmlns:mc="http://schemas.openxmlformats.org/markup-compatibility/2006" xmlns:a14="http://schemas.microsoft.com/office/drawing/2010/main">
      <mc:Choice Requires="a14">
        <xdr:graphicFrame macro="">
          <xdr:nvGraphicFramePr>
            <xdr:cNvPr id="12" name="Fecha de Inicio (mes)">
              <a:extLst>
                <a:ext uri="{FF2B5EF4-FFF2-40B4-BE49-F238E27FC236}">
                  <a16:creationId xmlns:a16="http://schemas.microsoft.com/office/drawing/2014/main" id="{5CFA7591-904B-9E6D-577E-9B9507DD1417}"/>
                </a:ext>
              </a:extLst>
            </xdr:cNvPr>
            <xdr:cNvGraphicFramePr/>
          </xdr:nvGraphicFramePr>
          <xdr:xfrm>
            <a:off x="0" y="0"/>
            <a:ext cx="0" cy="0"/>
          </xdr:xfrm>
          <a:graphic>
            <a:graphicData uri="http://schemas.microsoft.com/office/drawing/2010/slicer">
              <sle:slicer xmlns:sle="http://schemas.microsoft.com/office/drawing/2010/slicer" name="Fecha de Inicio (mes)"/>
            </a:graphicData>
          </a:graphic>
        </xdr:graphicFrame>
      </mc:Choice>
      <mc:Fallback xmlns="">
        <xdr:sp macro="" textlink="">
          <xdr:nvSpPr>
            <xdr:cNvPr id="0" name=""/>
            <xdr:cNvSpPr>
              <a:spLocks noTextEdit="1"/>
            </xdr:cNvSpPr>
          </xdr:nvSpPr>
          <xdr:spPr>
            <a:xfrm>
              <a:off x="12033996" y="2586318"/>
              <a:ext cx="1828800" cy="2524125"/>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O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clconsultores-my.sharepoint.com/personal/ajimenez_sclconsultores_com/Documents/Escritorio/CMPC/Servicios%20CMPC_planillamaestra.xlsm" TargetMode="External"/><Relationship Id="rId1" Type="http://schemas.openxmlformats.org/officeDocument/2006/relationships/externalLinkPath" Target="Servicios%20CMPC_planillamaestr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CADOR"/>
      <sheetName val="MPLS"/>
      <sheetName val="INTERNET"/>
      <sheetName val="XG"/>
      <sheetName val="CORE"/>
      <sheetName val="UPS"/>
      <sheetName val="SWITCH"/>
      <sheetName val="PBX"/>
      <sheetName val="SIP TRUNK"/>
      <sheetName val="DC"/>
      <sheetName val="CRITICOS"/>
      <sheetName val="DATOS"/>
      <sheetName val="Hoja2"/>
    </sheetNames>
    <sheetDataSet>
      <sheetData sheetId="0"/>
      <sheetData sheetId="1"/>
      <sheetData sheetId="2"/>
      <sheetData sheetId="3"/>
      <sheetData sheetId="4"/>
      <sheetData sheetId="5"/>
      <sheetData sheetId="6"/>
      <sheetData sheetId="7"/>
      <sheetData sheetId="8"/>
      <sheetData sheetId="9"/>
      <sheetData sheetId="10"/>
      <sheetData sheetId="11">
        <row r="6">
          <cell r="B6" t="str">
            <v>10000573525</v>
          </cell>
          <cell r="C6" t="str">
            <v>DATA-CENTER-AMUNATEGUI</v>
          </cell>
          <cell r="D6" t="str">
            <v>CMPC-A-EMP-CMPC-DC-AMU-SWITCH-CORE-9300-10000573525</v>
          </cell>
          <cell r="E6" t="str">
            <v>10.234.225.179</v>
          </cell>
          <cell r="F6" t="str">
            <v>N/A</v>
          </cell>
          <cell r="G6" t="str">
            <v>SWITCH</v>
          </cell>
          <cell r="H6" t="str">
            <v>ENTEL-CMPC-A-EMP-CMPC-DC-CDLV-SWITCH-CORE-9300-10000569696</v>
          </cell>
          <cell r="I6" t="str">
            <v>C9300-48T</v>
          </cell>
          <cell r="J6" t="str">
            <v>FJC24481JEZ</v>
          </cell>
          <cell r="M6" t="str">
            <v>José León</v>
          </cell>
          <cell r="N6" t="str">
            <v>+56 9 8129 7367</v>
          </cell>
          <cell r="O6" t="str">
            <v>joseignacio.leon@cmpc.cl</v>
          </cell>
          <cell r="P6" t="str">
            <v>EMPRESAS CMPC</v>
          </cell>
        </row>
        <row r="7">
          <cell r="B7">
            <v>10000304371</v>
          </cell>
          <cell r="C7" t="str">
            <v>DATA-CENTER-CDLV</v>
          </cell>
          <cell r="D7" t="str">
            <v>CMPC-A-EMP-CMPC-DC-CENTRAL-CDLV-RESP-10000304371</v>
          </cell>
          <cell r="E7" t="str">
            <v>10.233.16.66</v>
          </cell>
          <cell r="F7" t="e">
            <v>#N/A</v>
          </cell>
          <cell r="G7" t="str">
            <v>ROUTER</v>
          </cell>
          <cell r="H7" t="str">
            <v>ENTEL-CMPC-A-EMP-CMPC-DC-CENTRAL-AMU-PRIN-7874420003</v>
          </cell>
          <cell r="I7" t="str">
            <v>ciscoISR4451</v>
          </cell>
          <cell r="J7" t="str">
            <v>FJC2317A1PW</v>
          </cell>
          <cell r="K7" t="str">
            <v>Fibra optica</v>
          </cell>
          <cell r="L7" t="str">
            <v>940 Mbps</v>
          </cell>
          <cell r="M7" t="str">
            <v>José León</v>
          </cell>
          <cell r="N7" t="str">
            <v>+56 9 8129 7366</v>
          </cell>
          <cell r="O7" t="str">
            <v>joseignacio.leon@cmpc.cl</v>
          </cell>
          <cell r="P7" t="str">
            <v>EMPRESAS CMPC</v>
          </cell>
        </row>
        <row r="8">
          <cell r="B8">
            <v>10000567898</v>
          </cell>
          <cell r="C8" t="str">
            <v>DATA-CENTER-CDLV</v>
          </cell>
          <cell r="D8" t="str">
            <v>CMPC_DC_CDLV_CORE_RESPALDO_10000567898</v>
          </cell>
          <cell r="E8" t="str">
            <v>10.234.78.178</v>
          </cell>
          <cell r="F8" t="e">
            <v>#N/A</v>
          </cell>
          <cell r="G8" t="str">
            <v>ROUTER</v>
          </cell>
          <cell r="H8" t="str">
            <v>ENTEL-CMPC_DC_AMUN_CORE_PRINCIPAL_10000567899</v>
          </cell>
          <cell r="I8" t="str">
            <v>ciscoASR1001X</v>
          </cell>
          <cell r="J8" t="str">
            <v>FXS2446Q1M0</v>
          </cell>
          <cell r="K8" t="str">
            <v>Fibra optica</v>
          </cell>
          <cell r="L8" t="str">
            <v>4 Gbps</v>
          </cell>
          <cell r="M8" t="str">
            <v>José León</v>
          </cell>
          <cell r="N8" t="str">
            <v>+56 9 8129 7366</v>
          </cell>
          <cell r="O8" t="str">
            <v>joseignacio.leon@cmpc.cl</v>
          </cell>
          <cell r="P8" t="str">
            <v>EMPRESAS CMPC</v>
          </cell>
        </row>
        <row r="9">
          <cell r="B9">
            <v>10000715378</v>
          </cell>
          <cell r="C9" t="str">
            <v>DATA-CENTER-CDLV</v>
          </cell>
          <cell r="D9" t="str">
            <v>FORTINET TERCEROS RESP CDLV-10000715378</v>
          </cell>
          <cell r="E9" t="str">
            <v>10.236.95.74</v>
          </cell>
          <cell r="F9" t="str">
            <v>10.9.2.5</v>
          </cell>
          <cell r="G9" t="str">
            <v>ROUTER</v>
          </cell>
          <cell r="H9" t="str">
            <v>ENTEL-FORTINET TERCEROS PPAL AMU-10000715382</v>
          </cell>
          <cell r="I9" t="str">
            <v>FORTIGATE 100F</v>
          </cell>
          <cell r="J9" t="str">
            <v>FG100FTK23075997</v>
          </cell>
          <cell r="M9" t="str">
            <v>José León</v>
          </cell>
          <cell r="N9" t="str">
            <v>+56 9 8129 7367</v>
          </cell>
          <cell r="O9" t="str">
            <v>joseignacio.leon@cmpc.cl</v>
          </cell>
          <cell r="P9" t="str">
            <v>EMPRESAS CMPC</v>
          </cell>
        </row>
        <row r="10">
          <cell r="B10">
            <v>10000569696</v>
          </cell>
          <cell r="C10" t="str">
            <v>DATA-CENTER-CDLV</v>
          </cell>
          <cell r="D10" t="str">
            <v>CMPC-A-EMP-CMPC-DC-CDLV-SWITCH-CORE-9300-10000569696</v>
          </cell>
          <cell r="E10" t="str">
            <v>10.234.225.180</v>
          </cell>
          <cell r="F10" t="str">
            <v>N/A</v>
          </cell>
          <cell r="G10" t="str">
            <v>SWITCH</v>
          </cell>
          <cell r="H10" t="str">
            <v>ENTEL-CMPC-A-EMP-CMPC-DC-AMU-SWITCH-CORE-9300-10000573525</v>
          </cell>
          <cell r="I10" t="str">
            <v>C9300-48T</v>
          </cell>
          <cell r="J10" t="str">
            <v>FJC24481P9A</v>
          </cell>
          <cell r="M10" t="str">
            <v>José León</v>
          </cell>
          <cell r="N10" t="str">
            <v>+56 9 8129 7367</v>
          </cell>
          <cell r="O10" t="str">
            <v>joseignacio.leon@cmpc.cl</v>
          </cell>
          <cell r="P10" t="str">
            <v>EMPRESAS CMPC</v>
          </cell>
        </row>
        <row r="11">
          <cell r="B11">
            <v>10000304622</v>
          </cell>
          <cell r="C11" t="str">
            <v>DATA-CENTER-CDLV</v>
          </cell>
          <cell r="D11" t="str">
            <v>CMPC-A-EMP-CMPC-DC-STACK3850-CDLV-10000304622</v>
          </cell>
          <cell r="E11" t="str">
            <v>172.31.163.5</v>
          </cell>
          <cell r="F11" t="str">
            <v>N/A</v>
          </cell>
          <cell r="G11" t="str">
            <v>SWITCH</v>
          </cell>
          <cell r="H11" t="str">
            <v>ENTEL-CMPC-A-EMP-CMPC-DC-STACK3850-AMU-10000304628</v>
          </cell>
          <cell r="I11" t="str">
            <v>C3850-48P</v>
          </cell>
          <cell r="J11" t="str">
            <v>FCW2142F0Q2</v>
          </cell>
          <cell r="M11" t="str">
            <v>José León</v>
          </cell>
          <cell r="N11" t="str">
            <v>+56 9 8129 7365</v>
          </cell>
          <cell r="O11" t="str">
            <v>joseignacio.leon@cmpc.cl</v>
          </cell>
          <cell r="P11" t="str">
            <v>EMPRESAS CMPC</v>
          </cell>
        </row>
        <row r="12">
          <cell r="B12">
            <v>10000600258</v>
          </cell>
          <cell r="C12" t="str">
            <v>DATA-CENTER-CDLV</v>
          </cell>
          <cell r="D12" t="str">
            <v>CMPC-A-EMP-CMPC-DC-CDLV-IPSLA-10000600258</v>
          </cell>
          <cell r="E12" t="str">
            <v>10.223.1.82</v>
          </cell>
          <cell r="F12" t="e">
            <v>#N/A</v>
          </cell>
          <cell r="G12" t="str">
            <v>ROUTER</v>
          </cell>
          <cell r="H12" t="str">
            <v>ENTEL-UNIC</v>
          </cell>
          <cell r="I12" t="str">
            <v>ciscoISR4321</v>
          </cell>
          <cell r="J12" t="str">
            <v>FLM244910D9</v>
          </cell>
          <cell r="K12" t="str">
            <v>No Aplica</v>
          </cell>
          <cell r="L12" t="str">
            <v>#N/D</v>
          </cell>
          <cell r="M12" t="str">
            <v>José León</v>
          </cell>
          <cell r="N12" t="str">
            <v>+56 9 8129 7368</v>
          </cell>
          <cell r="O12" t="str">
            <v>joseignacio.leon@cmpc.cl</v>
          </cell>
          <cell r="P12" t="str">
            <v>EMPRESAS CMPC</v>
          </cell>
        </row>
        <row r="13">
          <cell r="B13" t="str">
            <v>10000500811</v>
          </cell>
          <cell r="C13" t="str">
            <v>FORMIN-TEMUCO</v>
          </cell>
          <cell r="D13" t="str">
            <v>CMPC-D-CEL-FORMIN-TEMUCO-FW-10000500811</v>
          </cell>
          <cell r="E13" t="str">
            <v>164.77.188.58</v>
          </cell>
          <cell r="F13" t="e">
            <v>#N/A</v>
          </cell>
          <cell r="G13" t="str">
            <v>FIREWALL</v>
          </cell>
          <cell r="I13" t="str">
            <v>fortinetFGT100E</v>
          </cell>
          <cell r="K13" t="str">
            <v>No Aplica</v>
          </cell>
          <cell r="L13" t="e">
            <v>#N/A</v>
          </cell>
          <cell r="M13" t="str">
            <v>Jorge Acuña</v>
          </cell>
          <cell r="N13" t="str">
            <v>+56 9 6677 1426</v>
          </cell>
          <cell r="O13" t="str">
            <v>jorge.acuna@cmpc.cl</v>
          </cell>
          <cell r="P13" t="str">
            <v>FORESTAL</v>
          </cell>
        </row>
        <row r="14">
          <cell r="B14">
            <v>10000347457</v>
          </cell>
          <cell r="C14" t="str">
            <v>CMPC-D-CEL-CASINO-TRABAJ-INFORSA</v>
          </cell>
          <cell r="D14" t="str">
            <v>CMPC-D-CEL-CASINO-TRABAJ-INFORSA-INTERNET-10000347457</v>
          </cell>
          <cell r="E14" t="str">
            <v>10.234.77.190</v>
          </cell>
          <cell r="F14" t="str">
            <v>200.111.135.33</v>
          </cell>
          <cell r="G14" t="str">
            <v>INTERNET DEDICADO</v>
          </cell>
          <cell r="I14" t="str">
            <v>CiscoC1111-4P</v>
          </cell>
          <cell r="J14" t="str">
            <v>FGL2448L491</v>
          </cell>
          <cell r="K14" t="str">
            <v>Fibra optica</v>
          </cell>
          <cell r="L14" t="str">
            <v>20 Mbps</v>
          </cell>
          <cell r="M14" t="e">
            <v>#N/A</v>
          </cell>
          <cell r="N14" t="e">
            <v>#N/A</v>
          </cell>
          <cell r="O14" t="e">
            <v>#N/A</v>
          </cell>
          <cell r="P14" t="str">
            <v>PULP</v>
          </cell>
        </row>
        <row r="15">
          <cell r="B15">
            <v>10000577752</v>
          </cell>
          <cell r="C15" t="str">
            <v>CMPC-D-CEL-C.PINARES-INTERNET</v>
          </cell>
          <cell r="D15" t="str">
            <v>CMPC-D-CEL-C.PINARES-INTERNET-10000577752</v>
          </cell>
          <cell r="E15" t="str">
            <v>10.234.150.114</v>
          </cell>
          <cell r="F15" t="str">
            <v>152.231.79.137</v>
          </cell>
          <cell r="G15" t="str">
            <v>INTERNET DEDICADO</v>
          </cell>
          <cell r="I15" t="str">
            <v>cisco C1111-8P</v>
          </cell>
          <cell r="J15" t="str">
            <v>FGL2421LK7U</v>
          </cell>
          <cell r="K15" t="str">
            <v>Fibra optica</v>
          </cell>
          <cell r="L15" t="str">
            <v>100 Mbps</v>
          </cell>
          <cell r="M15" t="str">
            <v>Ignacio Pincheira</v>
          </cell>
          <cell r="N15" t="str">
            <v>+56 9 9699 8973</v>
          </cell>
          <cell r="P15" t="str">
            <v>CELULOSA</v>
          </cell>
        </row>
        <row r="16">
          <cell r="B16">
            <v>10000575327</v>
          </cell>
          <cell r="C16" t="str">
            <v>CASA-MATRIZ</v>
          </cell>
          <cell r="D16" t="str">
            <v>CMPC-B-EMP-CMPC-CASA-MATRIZ-INTERNET-10000575327</v>
          </cell>
          <cell r="E16" t="str">
            <v>10.253.206.134</v>
          </cell>
          <cell r="F16" t="str">
            <v>200.111.149.105</v>
          </cell>
          <cell r="G16" t="str">
            <v>INTERNET DEDICADO</v>
          </cell>
          <cell r="I16" t="str">
            <v>cisco C1111-8P</v>
          </cell>
          <cell r="J16" t="str">
            <v>FGL2524L6EG</v>
          </cell>
          <cell r="K16" t="str">
            <v>Fibra optica</v>
          </cell>
          <cell r="L16" t="str">
            <v>200 Mbps</v>
          </cell>
          <cell r="M16" t="str">
            <v>José León</v>
          </cell>
          <cell r="N16" t="str">
            <v>+56 9 8129 7366</v>
          </cell>
          <cell r="O16" t="str">
            <v>joseignacio.leon@cmpc.cl</v>
          </cell>
          <cell r="P16" t="str">
            <v>EMPRESAS CMPC</v>
          </cell>
        </row>
        <row r="17">
          <cell r="B17" t="str">
            <v>10000322160</v>
          </cell>
          <cell r="C17" t="str">
            <v>FORMIN-CONCEPCION-DATA-CENTER-TELSUR</v>
          </cell>
          <cell r="D17" t="str">
            <v>CMPC-D-INTERNET-FORMIN-CONCEPCION-DC-TELSUR-10000322160</v>
          </cell>
          <cell r="E17" t="str">
            <v>172.31.105.218</v>
          </cell>
          <cell r="F17" t="str">
            <v>186.67.31.89</v>
          </cell>
          <cell r="G17" t="str">
            <v>INTERNET DEDICADO</v>
          </cell>
          <cell r="I17" t="str">
            <v>ciscoC881K9</v>
          </cell>
          <cell r="J17" t="str">
            <v>FTX1904801G</v>
          </cell>
          <cell r="K17" t="str">
            <v>Fibra optica</v>
          </cell>
          <cell r="L17" t="str">
            <v>10 Mbps</v>
          </cell>
          <cell r="M17" t="str">
            <v>Jorge Acuña</v>
          </cell>
          <cell r="N17" t="str">
            <v>+56 9 6677 1428</v>
          </cell>
          <cell r="O17" t="str">
            <v>jorge.acuna@cmpc.cl</v>
          </cell>
          <cell r="P17" t="str">
            <v>FORESTAL</v>
          </cell>
        </row>
        <row r="18">
          <cell r="B18">
            <v>10000365255</v>
          </cell>
          <cell r="C18" t="str">
            <v>VILLA-MININCO</v>
          </cell>
          <cell r="D18" t="str">
            <v>CMPC-D-CEL-INTERNET-VILLA-MININCO-10000365255</v>
          </cell>
          <cell r="E18" t="str">
            <v>192.168.101.78</v>
          </cell>
          <cell r="F18" t="str">
            <v>164.77.147.153</v>
          </cell>
          <cell r="G18" t="str">
            <v>INTERNET DEDICADO</v>
          </cell>
          <cell r="I18" t="str">
            <v>CiscoC1111-4P</v>
          </cell>
          <cell r="J18" t="str">
            <v>FGL2449L71M</v>
          </cell>
          <cell r="K18" t="str">
            <v>Fibra optica</v>
          </cell>
          <cell r="L18" t="str">
            <v>10 Mbps</v>
          </cell>
        </row>
        <row r="19">
          <cell r="B19">
            <v>10000500809</v>
          </cell>
          <cell r="C19" t="str">
            <v>FORMIN-TEMUCO</v>
          </cell>
          <cell r="D19" t="str">
            <v>CMPC-D-CEL-FORMIN-TEMUCO-INTERNET-10000500809</v>
          </cell>
          <cell r="E19" t="str">
            <v>10.234.159.182</v>
          </cell>
          <cell r="F19" t="str">
            <v>164.77.188.57</v>
          </cell>
          <cell r="G19" t="str">
            <v>INTERNET DEDICADO</v>
          </cell>
          <cell r="I19" t="str">
            <v>CiscoC1111-4P</v>
          </cell>
          <cell r="J19" t="str">
            <v>FGL2449L74K</v>
          </cell>
          <cell r="K19" t="str">
            <v>Fibra optica</v>
          </cell>
          <cell r="L19" t="str">
            <v>150 Mbps</v>
          </cell>
          <cell r="M19" t="str">
            <v>Jorge Acuña</v>
          </cell>
          <cell r="N19" t="str">
            <v>+56 9 6677 1428</v>
          </cell>
          <cell r="O19" t="str">
            <v>jorge.acuna@cmpc.cl</v>
          </cell>
          <cell r="P19" t="str">
            <v>FORESTAL</v>
          </cell>
        </row>
        <row r="20">
          <cell r="B20">
            <v>10000612357</v>
          </cell>
          <cell r="C20" t="str">
            <v>FORSAC-CHILLAN</v>
          </cell>
          <cell r="D20" t="str">
            <v>CMPC-C-CEL-FORSAC-CHILLAN-INTERNET-10000612357</v>
          </cell>
          <cell r="E20" t="str">
            <v>10.253.196.170</v>
          </cell>
          <cell r="F20" t="str">
            <v>200.111.89.137</v>
          </cell>
          <cell r="G20" t="str">
            <v>INTERNET DEDICADO</v>
          </cell>
          <cell r="I20" t="str">
            <v>cisco C1111-8P</v>
          </cell>
          <cell r="J20" t="str">
            <v>FGL2544LH5P</v>
          </cell>
          <cell r="K20" t="str">
            <v>Fibra optica</v>
          </cell>
          <cell r="L20" t="str">
            <v>10 Mbps</v>
          </cell>
          <cell r="M20" t="e">
            <v>#N/A</v>
          </cell>
          <cell r="N20" t="e">
            <v>#N/A</v>
          </cell>
          <cell r="O20" t="e">
            <v>#N/A</v>
          </cell>
          <cell r="P20" t="str">
            <v>SACK KRAFT</v>
          </cell>
        </row>
        <row r="21">
          <cell r="B21">
            <v>10000009996</v>
          </cell>
          <cell r="C21" t="str">
            <v>INTERNET-MUNI-NACIMIENTO-CCULTURA</v>
          </cell>
          <cell r="D21" t="str">
            <v>CMPC-D-CEL-MUNI-NACIMIENTO-CCULTURA-INTERNET-10000009996</v>
          </cell>
          <cell r="E21" t="str">
            <v>192.168.47.58</v>
          </cell>
          <cell r="F21" t="str">
            <v>200.111.65.113</v>
          </cell>
          <cell r="G21" t="str">
            <v>INTERNET DEDICADO</v>
          </cell>
          <cell r="I21" t="str">
            <v>CiscoC1111-4P</v>
          </cell>
          <cell r="J21" t="str">
            <v>FGL2435L2YH</v>
          </cell>
          <cell r="K21" t="str">
            <v>Fibra optica</v>
          </cell>
          <cell r="L21" t="str">
            <v>20 Mbps</v>
          </cell>
          <cell r="M21" t="str">
            <v>Jacob Fehrmann</v>
          </cell>
          <cell r="N21" t="str">
            <v>+56 9 8259 4195</v>
          </cell>
          <cell r="O21" t="str">
            <v>jacob.fehrmann@arsis.cl</v>
          </cell>
          <cell r="P21" t="str">
            <v>PULP</v>
          </cell>
        </row>
        <row r="22">
          <cell r="B22">
            <v>10000022234</v>
          </cell>
          <cell r="C22" t="str">
            <v>CELULOSA-LAJA</v>
          </cell>
          <cell r="D22" t="str">
            <v>CMPC-C-CEL-LAJA-PRIN-10000022234</v>
          </cell>
          <cell r="E22" t="str">
            <v>10.221.19.138</v>
          </cell>
          <cell r="F22" t="str">
            <v>10.38.255.2</v>
          </cell>
          <cell r="G22" t="str">
            <v>ROUTER</v>
          </cell>
          <cell r="H22" t="str">
            <v>ENTEL-CMPC-C-CEL-LAJA-RESP-10000058625</v>
          </cell>
          <cell r="I22" t="str">
            <v>ciscoISR4351</v>
          </cell>
          <cell r="J22" t="str">
            <v>FLM243510T4</v>
          </cell>
          <cell r="K22" t="str">
            <v>Fibra optica</v>
          </cell>
          <cell r="L22" t="str">
            <v>200 Mbps</v>
          </cell>
          <cell r="M22" t="str">
            <v>Sergio Gallardo</v>
          </cell>
          <cell r="N22" t="str">
            <v>+56 9 4477 9920</v>
          </cell>
          <cell r="O22" t="str">
            <v>sergio.gallardor@cmpc.cl</v>
          </cell>
          <cell r="P22" t="str">
            <v>CELULOSA</v>
          </cell>
        </row>
        <row r="23">
          <cell r="B23">
            <v>10000058627</v>
          </cell>
          <cell r="C23" t="str">
            <v>CELULOSA-PACIFICO</v>
          </cell>
          <cell r="D23" t="str">
            <v>CMPC-C-CEL-PACIFICO-PRIN-10000058627</v>
          </cell>
          <cell r="E23" t="str">
            <v>10.221.19.102</v>
          </cell>
          <cell r="F23" t="str">
            <v>10.37.255.2</v>
          </cell>
          <cell r="G23" t="str">
            <v>ROUTER</v>
          </cell>
          <cell r="H23" t="str">
            <v>ENTEL-CMPC-C-CEL-PACIFICO-RESP-10000022240</v>
          </cell>
          <cell r="I23" t="str">
            <v>ciscoISR4351</v>
          </cell>
          <cell r="J23" t="str">
            <v>FLM25021042</v>
          </cell>
          <cell r="K23" t="str">
            <v>Fibra optica</v>
          </cell>
          <cell r="L23" t="str">
            <v>200 Mbps</v>
          </cell>
          <cell r="M23" t="str">
            <v>Sergio Gallardo</v>
          </cell>
          <cell r="N23" t="str">
            <v>+56 9 4477 9920</v>
          </cell>
          <cell r="O23" t="str">
            <v>sergio.gallardor@cmpc.cl</v>
          </cell>
          <cell r="P23" t="str">
            <v>PULP</v>
          </cell>
        </row>
        <row r="24">
          <cell r="B24">
            <v>10000058617</v>
          </cell>
          <cell r="C24" t="str">
            <v>CARTULINAS-MAULE</v>
          </cell>
          <cell r="D24" t="str">
            <v>CMPC-C-BIO-CARTULINAS-MAULE-PRIN-10000058617-RESP-GTD</v>
          </cell>
          <cell r="E24" t="str">
            <v>10.221.19.94</v>
          </cell>
          <cell r="F24" t="str">
            <v>10.53.255.2</v>
          </cell>
          <cell r="G24" t="str">
            <v>ROUTER</v>
          </cell>
          <cell r="H24" t="str">
            <v>GTD</v>
          </cell>
          <cell r="I24" t="str">
            <v>ciscoISR4351</v>
          </cell>
          <cell r="J24" t="str">
            <v>FLM2502103Z</v>
          </cell>
          <cell r="K24" t="str">
            <v>Inalambrico (harris)</v>
          </cell>
          <cell r="L24" t="str">
            <v>200 Mbps</v>
          </cell>
          <cell r="M24" t="str">
            <v>Claudio Muñoz</v>
          </cell>
          <cell r="N24" t="str">
            <v>+56 9 4225 4553</v>
          </cell>
          <cell r="O24" t="str">
            <v>claudio.munoz@cmpc.cl</v>
          </cell>
          <cell r="P24" t="str">
            <v>BOXBOARD</v>
          </cell>
        </row>
        <row r="25">
          <cell r="B25">
            <v>6935210001</v>
          </cell>
          <cell r="C25" t="str">
            <v>CARTULINAS-VALDIVIA</v>
          </cell>
          <cell r="D25" t="str">
            <v>CMPC-C-BIO-CARTULINAS-VALDIVIA-PRIN-6935210001-RESP-GTD</v>
          </cell>
          <cell r="E25" t="str">
            <v>10.228.65.26</v>
          </cell>
          <cell r="F25" t="str">
            <v>10.29.8.242</v>
          </cell>
          <cell r="G25" t="str">
            <v>ROUTER</v>
          </cell>
          <cell r="H25" t="str">
            <v>GTD</v>
          </cell>
          <cell r="I25" t="str">
            <v>CiscoC1111-4P</v>
          </cell>
          <cell r="J25" t="str">
            <v>FGL2449L743</v>
          </cell>
          <cell r="K25" t="str">
            <v>Fibra optica</v>
          </cell>
          <cell r="L25" t="str">
            <v>75 Mbps</v>
          </cell>
          <cell r="M25" t="str">
            <v>Claudio Muñoz</v>
          </cell>
          <cell r="N25">
            <v>56942254553</v>
          </cell>
          <cell r="O25" t="str">
            <v>claudio.munoz@cmpc.cl</v>
          </cell>
          <cell r="P25" t="str">
            <v>BOXBOARD</v>
          </cell>
        </row>
        <row r="26">
          <cell r="B26">
            <v>10000058781</v>
          </cell>
          <cell r="C26" t="str">
            <v>CELULOSA-SANTA</v>
          </cell>
          <cell r="D26" t="str">
            <v>CMPC-C-CEL-SANTA-FE-PRIN-10000058781-RESP-GTD</v>
          </cell>
          <cell r="E26" t="str">
            <v>10.221.19.98</v>
          </cell>
          <cell r="F26" t="str">
            <v>10.221.19.98</v>
          </cell>
          <cell r="G26" t="str">
            <v>ROUTER</v>
          </cell>
          <cell r="H26" t="str">
            <v>GTD</v>
          </cell>
          <cell r="I26" t="str">
            <v>ciscoISR4351</v>
          </cell>
          <cell r="J26" t="str">
            <v>FLM25021041</v>
          </cell>
          <cell r="K26" t="str">
            <v>Fibra optica</v>
          </cell>
          <cell r="L26" t="str">
            <v>300 Mbps</v>
          </cell>
          <cell r="M26" t="str">
            <v>Sergio Gallardo</v>
          </cell>
          <cell r="N26" t="str">
            <v>+56 9 4477 9920</v>
          </cell>
          <cell r="O26" t="str">
            <v>sergio.gallardor@cmpc.cl</v>
          </cell>
          <cell r="P26" t="str">
            <v>PULP</v>
          </cell>
        </row>
        <row r="27">
          <cell r="B27">
            <v>10000379551</v>
          </cell>
          <cell r="C27" t="str">
            <v>CHIMOLSA-PUENTE-ALTO</v>
          </cell>
          <cell r="D27" t="str">
            <v>CMPC-C-BIO-CHIMOLSA-PTE-ALTO-PRIN-10000379551-RESP-GTD</v>
          </cell>
          <cell r="E27" t="str">
            <v>10.234.125.158</v>
          </cell>
          <cell r="F27" t="str">
            <v>10.25.7.242</v>
          </cell>
          <cell r="G27" t="str">
            <v>ROUTER</v>
          </cell>
          <cell r="H27" t="str">
            <v>GTD</v>
          </cell>
          <cell r="I27" t="str">
            <v>CiscoC1111-4P</v>
          </cell>
          <cell r="J27" t="str">
            <v>FGL2602L0TX</v>
          </cell>
          <cell r="K27" t="str">
            <v>Fibra optica</v>
          </cell>
          <cell r="L27" t="str">
            <v>60 Mbps</v>
          </cell>
          <cell r="M27" t="str">
            <v>Nicolas Morales</v>
          </cell>
          <cell r="N27" t="str">
            <v>+56 9 3865 5496</v>
          </cell>
          <cell r="O27" t="str">
            <v>nicolas.morales@cmpc.cl</v>
          </cell>
          <cell r="P27" t="str">
            <v>CORRUGADO</v>
          </cell>
        </row>
        <row r="28">
          <cell r="B28">
            <v>7874420002</v>
          </cell>
          <cell r="C28" t="str">
            <v>CASA-MATRIZ</v>
          </cell>
          <cell r="D28" t="str">
            <v>CMPC-B-EMP-CMPC-CASA-MATRIZ-PRIN-7874420002-RESP-GTD</v>
          </cell>
          <cell r="E28" t="str">
            <v>10.220.168.2</v>
          </cell>
          <cell r="F28" t="str">
            <v>10.27.255.2</v>
          </cell>
          <cell r="G28" t="str">
            <v>ROUTER</v>
          </cell>
          <cell r="H28" t="str">
            <v>GTD</v>
          </cell>
          <cell r="I28" t="str">
            <v>ciscoISR4431</v>
          </cell>
          <cell r="J28" t="str">
            <v>FJC25151QA9</v>
          </cell>
          <cell r="K28" t="str">
            <v>Fibra optica</v>
          </cell>
          <cell r="L28" t="str">
            <v>500 Mbps</v>
          </cell>
          <cell r="M28" t="str">
            <v>José León</v>
          </cell>
          <cell r="N28" t="str">
            <v>+56 9 8129 7366</v>
          </cell>
          <cell r="O28" t="str">
            <v>joseignacio.leon@cmpc.cl</v>
          </cell>
          <cell r="P28" t="str">
            <v>EMPRESAS CMPC</v>
          </cell>
        </row>
        <row r="29">
          <cell r="B29">
            <v>6999020001</v>
          </cell>
          <cell r="C29" t="str">
            <v>EDIPAC-CONCEPCION</v>
          </cell>
          <cell r="D29" t="str">
            <v>CMPC-D-BIO-EDIPAC-CONCEPCION-PRIN-6999020001-RESP-GTD</v>
          </cell>
          <cell r="E29" t="str">
            <v>10.220.168.70</v>
          </cell>
          <cell r="F29" t="str">
            <v>10.28.5.2</v>
          </cell>
          <cell r="G29" t="str">
            <v>ROUTER</v>
          </cell>
          <cell r="H29" t="str">
            <v>GTD</v>
          </cell>
          <cell r="I29" t="str">
            <v>CiscoC1111-4P</v>
          </cell>
          <cell r="J29" t="str">
            <v>FGL2509LDPP</v>
          </cell>
          <cell r="K29" t="str">
            <v>Fibra optica</v>
          </cell>
          <cell r="L29" t="str">
            <v>20 Mbps</v>
          </cell>
          <cell r="M29" t="str">
            <v>Wilfred Olivares</v>
          </cell>
          <cell r="N29" t="str">
            <v>+56 9 4450 5919</v>
          </cell>
          <cell r="O29" t="str">
            <v>wilfred.olivares@cmpc.cl</v>
          </cell>
          <cell r="P29" t="str">
            <v>EDIPAC</v>
          </cell>
        </row>
        <row r="30">
          <cell r="B30">
            <v>7823550001</v>
          </cell>
          <cell r="C30" t="str">
            <v>EDIPAC-QUILICURA</v>
          </cell>
          <cell r="D30" t="str">
            <v>CMPC-C-BIO-EDIPAC-QUILICURA-PRIN-7823550001-RESP-GTD</v>
          </cell>
          <cell r="E30" t="str">
            <v>10.220.168.86</v>
          </cell>
          <cell r="F30" t="str">
            <v>10.29.3.242</v>
          </cell>
          <cell r="G30" t="str">
            <v>ROUTER</v>
          </cell>
          <cell r="H30" t="str">
            <v>GTD</v>
          </cell>
          <cell r="I30" t="str">
            <v>CiscoC1111-4P</v>
          </cell>
          <cell r="J30" t="str">
            <v>FGL2518LA38</v>
          </cell>
          <cell r="K30" t="str">
            <v>Fibra optica</v>
          </cell>
          <cell r="L30" t="str">
            <v>35 Mbps</v>
          </cell>
          <cell r="M30" t="str">
            <v>Wilfred Olivares</v>
          </cell>
          <cell r="N30" t="str">
            <v>+56 9 4450 5919</v>
          </cell>
          <cell r="O30" t="str">
            <v>wilfred.olivares@cmpc.cl</v>
          </cell>
          <cell r="P30" t="str">
            <v>EDIPAC</v>
          </cell>
        </row>
        <row r="31">
          <cell r="B31">
            <v>10000057950</v>
          </cell>
          <cell r="C31" t="str">
            <v>ENVASES-ROBLE-ALTO-BUIN</v>
          </cell>
          <cell r="D31" t="str">
            <v>CMPC-D-BIO-ENVASES-ROBLE-ALTO-BUIN-PRIN-10000057950-RESP-GTD</v>
          </cell>
          <cell r="E31" t="str">
            <v>10.228.65.46</v>
          </cell>
          <cell r="F31" t="str">
            <v>10.29.28.242</v>
          </cell>
          <cell r="G31" t="str">
            <v>ROUTER</v>
          </cell>
          <cell r="H31" t="str">
            <v>GTD</v>
          </cell>
          <cell r="I31" t="str">
            <v>ciscoISR4351</v>
          </cell>
          <cell r="J31" t="str">
            <v>FLM25021046</v>
          </cell>
          <cell r="K31" t="str">
            <v>Fibra optica</v>
          </cell>
          <cell r="L31" t="str">
            <v>200 Mbps</v>
          </cell>
          <cell r="M31" t="str">
            <v>Nicolas Morales</v>
          </cell>
          <cell r="N31" t="str">
            <v>+56 9 3865 5496</v>
          </cell>
          <cell r="O31" t="str">
            <v>nicolas.morales@cmpc.cl</v>
          </cell>
          <cell r="P31" t="str">
            <v>CORRUGADO</v>
          </cell>
        </row>
        <row r="32">
          <cell r="B32">
            <v>10000081665</v>
          </cell>
          <cell r="C32" t="str">
            <v>ENVASES-EIRA-LO-ESPEJO</v>
          </cell>
          <cell r="D32" t="str">
            <v>CMPC-D-BIO-ENVASES-EIRA-LO-ESPEJO-PRIN-10000081665-RESP-GTD</v>
          </cell>
          <cell r="E32" t="str">
            <v>10.221.19.146</v>
          </cell>
          <cell r="F32" t="str">
            <v>10.28.16.2</v>
          </cell>
          <cell r="G32" t="str">
            <v>ROUTER</v>
          </cell>
          <cell r="H32" t="str">
            <v>GTD</v>
          </cell>
          <cell r="I32" t="str">
            <v>CiscoC1111-4P</v>
          </cell>
          <cell r="J32" t="str">
            <v>FGL2509LDRS</v>
          </cell>
          <cell r="K32" t="str">
            <v>Fibra optica</v>
          </cell>
          <cell r="L32" t="str">
            <v>20 Mbps</v>
          </cell>
          <cell r="M32" t="str">
            <v>Nicolas Morales</v>
          </cell>
          <cell r="N32" t="str">
            <v>+56 9 3865 5496</v>
          </cell>
          <cell r="O32" t="str">
            <v>nicolas.morales@cmpc.cl</v>
          </cell>
          <cell r="P32" t="str">
            <v>CORRUGADO</v>
          </cell>
        </row>
        <row r="33">
          <cell r="B33">
            <v>10000379897</v>
          </cell>
          <cell r="C33" t="str">
            <v>ENVASES-ROBLE-ALTO-TIL-TIL</v>
          </cell>
          <cell r="D33" t="str">
            <v>CMPC-C-BIO-ENVASES-ROBLE-ALTO-TIL-TIL-PRIN-10000379897-RESP-GTD</v>
          </cell>
          <cell r="E33" t="str">
            <v>10.234.95.30</v>
          </cell>
          <cell r="F33" t="str">
            <v>10.29.36.242</v>
          </cell>
          <cell r="G33" t="str">
            <v>ROUTER</v>
          </cell>
          <cell r="H33" t="str">
            <v>GTD</v>
          </cell>
          <cell r="I33" t="str">
            <v>ciscoISR4331</v>
          </cell>
          <cell r="J33" t="str">
            <v>FLM2229W1SM</v>
          </cell>
          <cell r="K33" t="str">
            <v>Inalambrico (harris)</v>
          </cell>
          <cell r="L33" t="str">
            <v>50 Mbps</v>
          </cell>
          <cell r="M33" t="str">
            <v>Nicolas Morales</v>
          </cell>
          <cell r="N33" t="str">
            <v>+56 9 3865 5496</v>
          </cell>
          <cell r="O33" t="str">
            <v>nicolas.morales@cmpc.cl</v>
          </cell>
          <cell r="P33" t="str">
            <v>CORRUGADO</v>
          </cell>
        </row>
        <row r="34">
          <cell r="B34">
            <v>10000057951</v>
          </cell>
          <cell r="C34" t="str">
            <v>FORSAC-CHILLAN</v>
          </cell>
          <cell r="D34" t="str">
            <v>CMPC-C-BIO-FORSAC-CHILLAN-PRIN-10000057951-RESP-GTD</v>
          </cell>
          <cell r="E34" t="str">
            <v>10.221.19.90</v>
          </cell>
          <cell r="F34" t="str">
            <v>10.70.7.242</v>
          </cell>
          <cell r="G34" t="str">
            <v>ROUTER</v>
          </cell>
          <cell r="H34" t="str">
            <v>GTD</v>
          </cell>
          <cell r="I34" t="str">
            <v>CiscoC1111-4P</v>
          </cell>
          <cell r="J34" t="str">
            <v>FGL2504LATR</v>
          </cell>
          <cell r="K34" t="str">
            <v>Fibra optica</v>
          </cell>
          <cell r="L34" t="str">
            <v>70 Mbps</v>
          </cell>
          <cell r="M34" t="str">
            <v>Wilfred Olivares</v>
          </cell>
          <cell r="N34" t="str">
            <v>+56 9 4450 5919</v>
          </cell>
          <cell r="O34" t="str">
            <v>wilfred.olivares@cmpc.cl</v>
          </cell>
          <cell r="P34" t="str">
            <v>SACK KRAFT</v>
          </cell>
        </row>
        <row r="35">
          <cell r="B35">
            <v>10000000824</v>
          </cell>
          <cell r="C35" t="str">
            <v>MADERAS-BUCALEMU</v>
          </cell>
          <cell r="D35" t="str">
            <v>CMPC-D-CEL-MADERAS-BUCALEMU-PRIN-10000000824-RESP-GTD</v>
          </cell>
          <cell r="E35" t="str">
            <v>10.228.65.30</v>
          </cell>
          <cell r="F35" t="str">
            <v>10.29.72.242</v>
          </cell>
          <cell r="G35" t="str">
            <v>ROUTER</v>
          </cell>
          <cell r="H35" t="str">
            <v>GTD</v>
          </cell>
          <cell r="I35" t="str">
            <v>CiscoC1111-4P</v>
          </cell>
          <cell r="J35" t="str">
            <v>FGL2449L74H</v>
          </cell>
          <cell r="K35" t="str">
            <v>Fibra optica</v>
          </cell>
          <cell r="L35" t="str">
            <v>80 Mbps</v>
          </cell>
          <cell r="M35" t="str">
            <v>Jorge Acuña</v>
          </cell>
          <cell r="N35" t="str">
            <v>+56 9 6677 1428</v>
          </cell>
          <cell r="O35" t="str">
            <v>jorge.acuna@cmpc.cl</v>
          </cell>
          <cell r="P35" t="str">
            <v>MADERAS</v>
          </cell>
        </row>
        <row r="36">
          <cell r="B36">
            <v>7831420001</v>
          </cell>
          <cell r="C36" t="str">
            <v>MADERAS-CORONEL</v>
          </cell>
          <cell r="D36" t="str">
            <v>CMPC-D-CEL-MADERAS-CORONEL-PRIN-7831420001-RESP-GTD</v>
          </cell>
          <cell r="E36" t="str">
            <v>10.220.168.234</v>
          </cell>
          <cell r="F36" t="str">
            <v>10.29.52.242</v>
          </cell>
          <cell r="G36" t="str">
            <v>ROUTER</v>
          </cell>
          <cell r="H36" t="str">
            <v>GTD</v>
          </cell>
          <cell r="I36" t="str">
            <v>CiscoC1111-4P</v>
          </cell>
          <cell r="J36" t="str">
            <v>FGL2443LBY8</v>
          </cell>
          <cell r="K36" t="str">
            <v>Fibra optica</v>
          </cell>
          <cell r="L36" t="str">
            <v>20 Mbps</v>
          </cell>
          <cell r="M36" t="str">
            <v>Sergio Gallardo</v>
          </cell>
          <cell r="N36" t="str">
            <v>+56 9 4477 9920</v>
          </cell>
          <cell r="O36" t="str">
            <v>sergio.gallardor@cmpc.cl</v>
          </cell>
          <cell r="P36" t="str">
            <v>MADERAS</v>
          </cell>
        </row>
        <row r="37">
          <cell r="B37">
            <v>10000396994</v>
          </cell>
          <cell r="C37" t="str">
            <v>EDIFICIO-CORPORATIVO-LOS-ANGELES</v>
          </cell>
          <cell r="D37" t="str">
            <v>CMPC-B-CEL-MADERAS-LOS-ANGELES-ED-CORP-PRIN-10000396994-RESP-GTD</v>
          </cell>
          <cell r="E37" t="str">
            <v>10.234.139.30</v>
          </cell>
          <cell r="F37" t="str">
            <v>10.41.255.242</v>
          </cell>
          <cell r="G37" t="str">
            <v>ROUTER</v>
          </cell>
          <cell r="H37" t="str">
            <v>GTD</v>
          </cell>
          <cell r="I37" t="str">
            <v>ciscoISR4431</v>
          </cell>
          <cell r="J37" t="str">
            <v>FJC2429D0TM</v>
          </cell>
          <cell r="K37" t="str">
            <v>Fibra optica</v>
          </cell>
          <cell r="L37" t="str">
            <v>430 Mbps</v>
          </cell>
          <cell r="M37" t="str">
            <v>Alfredo Fuentes</v>
          </cell>
          <cell r="N37" t="str">
            <v>+56 9 332 18712</v>
          </cell>
          <cell r="O37" t="str">
            <v>jorge.acuna@cmpc.cl</v>
          </cell>
          <cell r="P37" t="str">
            <v>FORESTAL</v>
          </cell>
        </row>
        <row r="38">
          <cell r="B38">
            <v>10000000853</v>
          </cell>
          <cell r="C38" t="str">
            <v>MADERAS-MULCHEN</v>
          </cell>
          <cell r="D38" t="str">
            <v>CMPC-D-CEL-MADERAS-MULCHEN-PRIN-10000000853-RESP-GTD</v>
          </cell>
          <cell r="E38" t="str">
            <v>10.228.65.62</v>
          </cell>
          <cell r="F38" t="str">
            <v>10.29.40.242</v>
          </cell>
          <cell r="G38" t="str">
            <v>ROUTER</v>
          </cell>
          <cell r="H38" t="str">
            <v>GTD</v>
          </cell>
          <cell r="I38" t="str">
            <v>CiscoC1111-4P</v>
          </cell>
          <cell r="J38" t="str">
            <v>FGL2449L8S0</v>
          </cell>
          <cell r="K38" t="str">
            <v>Fibra optica</v>
          </cell>
          <cell r="L38" t="str">
            <v>95 Mbps</v>
          </cell>
          <cell r="M38" t="str">
            <v>Jorge Acuña</v>
          </cell>
          <cell r="N38" t="str">
            <v>+56 9 6677 1428</v>
          </cell>
          <cell r="O38" t="str">
            <v>jorge.acuna@cmpc.cl</v>
          </cell>
          <cell r="P38" t="str">
            <v>MADERAS</v>
          </cell>
        </row>
        <row r="39">
          <cell r="B39">
            <v>10000000822</v>
          </cell>
          <cell r="C39" t="str">
            <v>MADERAS-PLANTA-CLEAR</v>
          </cell>
          <cell r="D39" t="str">
            <v>CMPC-C-CEL-MADERAS-PLANTA-CLEAR-PRIN-10000000822-RESP-GTD</v>
          </cell>
          <cell r="E39" t="str">
            <v>10.228.65.66</v>
          </cell>
          <cell r="F39" t="str">
            <v>10.29.56.242</v>
          </cell>
          <cell r="G39" t="str">
            <v>ROUTER</v>
          </cell>
          <cell r="H39" t="str">
            <v>GTD</v>
          </cell>
          <cell r="I39" t="str">
            <v>CiscoC1111-4P</v>
          </cell>
          <cell r="J39" t="str">
            <v>FGL2449L748</v>
          </cell>
          <cell r="K39" t="str">
            <v>Fibra optica</v>
          </cell>
          <cell r="L39" t="str">
            <v>50 Mbps</v>
          </cell>
          <cell r="M39" t="str">
            <v>Jorge Acuña</v>
          </cell>
          <cell r="N39" t="str">
            <v>+56 9 6677 1428</v>
          </cell>
          <cell r="O39" t="str">
            <v>jorge.acuna@cmpc.cl</v>
          </cell>
          <cell r="P39" t="str">
            <v>MADERAS</v>
          </cell>
        </row>
        <row r="40">
          <cell r="B40">
            <v>7853300001</v>
          </cell>
          <cell r="C40" t="str">
            <v>MADERAS-PLYWOOD</v>
          </cell>
          <cell r="D40" t="str">
            <v>CMPC-C-CEL-MADERAS-PLYWOOD-PRIN-7853300001-RESP-GTD</v>
          </cell>
          <cell r="E40" t="str">
            <v>10.236.63.226</v>
          </cell>
          <cell r="F40" t="str">
            <v>10.236.63.226</v>
          </cell>
          <cell r="G40" t="str">
            <v>ROUTER</v>
          </cell>
          <cell r="H40" t="str">
            <v>GTD</v>
          </cell>
          <cell r="I40" t="str">
            <v>CiscoC1111-4P</v>
          </cell>
          <cell r="J40" t="str">
            <v>FGL2448L4ES</v>
          </cell>
          <cell r="K40" t="str">
            <v>Fibra optica</v>
          </cell>
          <cell r="L40" t="str">
            <v>100 Mbps</v>
          </cell>
          <cell r="M40" t="str">
            <v>Sergio Gallardo</v>
          </cell>
          <cell r="N40" t="str">
            <v>+56 9 4477 9920</v>
          </cell>
          <cell r="O40" t="str">
            <v>sergio.gallardor@cmpc.cl</v>
          </cell>
          <cell r="P40" t="str">
            <v>MADERAS</v>
          </cell>
        </row>
        <row r="41">
          <cell r="B41">
            <v>10000052781</v>
          </cell>
          <cell r="C41" t="str">
            <v>PAPELES-CORDILELRA-PUENTE-ALTO</v>
          </cell>
          <cell r="D41" t="str">
            <v>CMPC-C-BIO-PAPELES-COR-PTE-ALTO-PRIN-10000052781-RESP-GTD</v>
          </cell>
          <cell r="E41" t="str">
            <v>10.220.168.58</v>
          </cell>
          <cell r="F41" t="str">
            <v>10.36.255.2</v>
          </cell>
          <cell r="G41" t="str">
            <v>ROUTER</v>
          </cell>
          <cell r="H41" t="str">
            <v>GTD</v>
          </cell>
          <cell r="I41" t="str">
            <v>ciscoISR4351</v>
          </cell>
          <cell r="J41" t="str">
            <v>FLM2502103W</v>
          </cell>
          <cell r="K41" t="str">
            <v>Fibra optica</v>
          </cell>
          <cell r="L41" t="str">
            <v>200 Mbps</v>
          </cell>
          <cell r="M41" t="str">
            <v>Nicolas Morales</v>
          </cell>
          <cell r="N41" t="str">
            <v>+56 9 3865 5496</v>
          </cell>
          <cell r="O41" t="str">
            <v>nicolas.morales@cmpc.cl</v>
          </cell>
          <cell r="P41" t="str">
            <v>CORRUGADO</v>
          </cell>
        </row>
        <row r="42">
          <cell r="B42">
            <v>7810530001</v>
          </cell>
          <cell r="C42" t="str">
            <v>PORTUARIA-LIRQUEN</v>
          </cell>
          <cell r="D42" t="str">
            <v>CMPC-C-CEL-PORTUARIA-LIRQUEN-PRIN-7810530001-RESP-GTD</v>
          </cell>
          <cell r="E42" t="str">
            <v>10.220.168.222</v>
          </cell>
          <cell r="F42" t="str">
            <v>10.28.9.242</v>
          </cell>
          <cell r="G42" t="str">
            <v>ROUTER</v>
          </cell>
          <cell r="H42" t="str">
            <v>GTD</v>
          </cell>
          <cell r="I42" t="str">
            <v>cisco2901</v>
          </cell>
          <cell r="J42" t="str">
            <v>FJC1903A1AV</v>
          </cell>
          <cell r="K42" t="str">
            <v>Inalambrico (radwin)</v>
          </cell>
          <cell r="L42" t="str">
            <v>10 Mbps</v>
          </cell>
          <cell r="M42" t="str">
            <v>Enrique Carvajal</v>
          </cell>
          <cell r="N42" t="str">
            <v>+56 9 4450 5921</v>
          </cell>
          <cell r="O42" t="str">
            <v>enrique.carvajal@cmpc.cl</v>
          </cell>
          <cell r="P42" t="str">
            <v>CELULOSA</v>
          </cell>
        </row>
        <row r="43">
          <cell r="B43">
            <v>10000059269</v>
          </cell>
          <cell r="C43" t="str">
            <v>SOFTYS-TALAGANTE</v>
          </cell>
          <cell r="D43" t="str">
            <v>CMPC-C-SOFTYS-TALAGANTE-PRIN-10000059269-RESP-GTD</v>
          </cell>
          <cell r="E43" t="str">
            <v>10.221.19.86</v>
          </cell>
          <cell r="F43" t="str">
            <v>10.3.15.242</v>
          </cell>
          <cell r="G43" t="str">
            <v>ROUTER</v>
          </cell>
          <cell r="H43" t="str">
            <v>GTD</v>
          </cell>
          <cell r="I43" t="str">
            <v>ciscoISR4351</v>
          </cell>
          <cell r="J43" t="str">
            <v>FLM2428114P</v>
          </cell>
          <cell r="K43" t="str">
            <v>Fibra optica</v>
          </cell>
          <cell r="L43" t="str">
            <v>200 Mbps</v>
          </cell>
          <cell r="M43" t="str">
            <v>Mayda Rivas</v>
          </cell>
          <cell r="N43" t="str">
            <v>+56 9 3461 1675</v>
          </cell>
          <cell r="O43" t="str">
            <v>mrivas@softys.cl</v>
          </cell>
          <cell r="P43" t="str">
            <v>SOFTYS</v>
          </cell>
        </row>
        <row r="44">
          <cell r="B44">
            <v>6999070001</v>
          </cell>
          <cell r="C44" t="str">
            <v>SOREPA-ANTOFAGASTA</v>
          </cell>
          <cell r="D44" t="str">
            <v>CMPC-D-BIO-SOREPA-ANTOFAGASTA-PRIN-6999070001-RESP-GTD</v>
          </cell>
          <cell r="E44" t="str">
            <v>10.220.168.102</v>
          </cell>
          <cell r="F44" t="str">
            <v>10.28.11.2</v>
          </cell>
          <cell r="G44" t="str">
            <v>ROUTER</v>
          </cell>
          <cell r="H44" t="str">
            <v>GTD</v>
          </cell>
          <cell r="I44" t="str">
            <v>CiscoC1111-4P</v>
          </cell>
          <cell r="J44" t="str">
            <v>FGL2449L74X</v>
          </cell>
          <cell r="K44" t="str">
            <v>Fibra optica</v>
          </cell>
          <cell r="L44" t="str">
            <v>20 Mbps</v>
          </cell>
          <cell r="M44" t="str">
            <v>Wilfred Olivares</v>
          </cell>
          <cell r="N44" t="str">
            <v>+56 9 4450 5919</v>
          </cell>
          <cell r="O44" t="str">
            <v>wilfred.olivares@cmpc.cl</v>
          </cell>
          <cell r="P44" t="str">
            <v>CORRUGADO</v>
          </cell>
        </row>
        <row r="45">
          <cell r="B45">
            <v>6999080001</v>
          </cell>
          <cell r="C45" t="str">
            <v>SOREPA-COQUIMBO</v>
          </cell>
          <cell r="D45" t="str">
            <v>CMPC-D-BIO-SOREPA-COQUIMBO-PRIN-6999080001-RESP-GTD</v>
          </cell>
          <cell r="E45" t="str">
            <v>10.220.168.118</v>
          </cell>
          <cell r="F45" t="str">
            <v>10.28.12.2</v>
          </cell>
          <cell r="G45" t="str">
            <v>ROUTER</v>
          </cell>
          <cell r="H45" t="str">
            <v>GTD</v>
          </cell>
          <cell r="I45" t="str">
            <v>CiscoC1111-4P</v>
          </cell>
          <cell r="J45" t="str">
            <v>FGL2449L7HA</v>
          </cell>
          <cell r="K45" t="str">
            <v>Fibra optica</v>
          </cell>
          <cell r="L45" t="str">
            <v>20 Mbps</v>
          </cell>
          <cell r="M45" t="str">
            <v>Wilfred Olivares</v>
          </cell>
          <cell r="N45" t="str">
            <v>+56 9 4450 5919</v>
          </cell>
          <cell r="O45" t="str">
            <v>wilfred.olivares@cmpc.cl</v>
          </cell>
          <cell r="P45" t="str">
            <v>CORRUGADO</v>
          </cell>
        </row>
        <row r="46">
          <cell r="B46">
            <v>10000024475</v>
          </cell>
          <cell r="C46" t="str">
            <v>SOREPA-PTOMONTT</v>
          </cell>
          <cell r="D46" t="str">
            <v>CMPC-D-BIO-SOREPA-PTOMONTT-PRIN-10000024475-RESP-GTD</v>
          </cell>
          <cell r="E46" t="str">
            <v>10.220.168.170</v>
          </cell>
          <cell r="F46" t="str">
            <v>10.28.14.2</v>
          </cell>
          <cell r="G46" t="str">
            <v>ROUTER</v>
          </cell>
          <cell r="H46" t="str">
            <v>GTD</v>
          </cell>
          <cell r="I46" t="str">
            <v>CiscoC1111-4P</v>
          </cell>
          <cell r="J46" t="str">
            <v>FGL2449L74M</v>
          </cell>
          <cell r="K46" t="str">
            <v>Fibra optica</v>
          </cell>
          <cell r="L46" t="str">
            <v>20 Mbps</v>
          </cell>
          <cell r="M46" t="e">
            <v>#N/A</v>
          </cell>
          <cell r="N46" t="e">
            <v>#N/A</v>
          </cell>
          <cell r="O46" t="e">
            <v>#N/A</v>
          </cell>
          <cell r="P46" t="str">
            <v>CORRUGADO</v>
          </cell>
        </row>
        <row r="47">
          <cell r="B47">
            <v>6999100001</v>
          </cell>
          <cell r="C47" t="str">
            <v>SOREPA-PUDAHUEL</v>
          </cell>
          <cell r="D47" t="str">
            <v>CMPC-D-BIO-SOREPA-PUDAHUEL-PRIN-6999100001-RESP-GTD</v>
          </cell>
          <cell r="E47" t="str">
            <v>10.228.65.34</v>
          </cell>
          <cell r="F47" t="str">
            <v>10.28.10.2</v>
          </cell>
          <cell r="G47" t="str">
            <v>ROUTER</v>
          </cell>
          <cell r="H47" t="str">
            <v>GTD</v>
          </cell>
          <cell r="I47" t="str">
            <v>CiscoC1111-4P</v>
          </cell>
          <cell r="J47" t="str">
            <v>FGL2446L6TN</v>
          </cell>
          <cell r="K47" t="str">
            <v>Fibra optica</v>
          </cell>
          <cell r="L47" t="str">
            <v>50 Mbps</v>
          </cell>
          <cell r="M47" t="str">
            <v>Wilfred Olivares</v>
          </cell>
          <cell r="N47" t="str">
            <v>+56 9 4450 5919</v>
          </cell>
          <cell r="O47" t="str">
            <v>wilfred.olivares@cmpc.cl</v>
          </cell>
          <cell r="P47" t="str">
            <v>CORRUGADO</v>
          </cell>
        </row>
        <row r="48">
          <cell r="B48">
            <v>7874440001</v>
          </cell>
          <cell r="C48" t="str">
            <v>DATA-CENTER-KYNDRYL</v>
          </cell>
          <cell r="D48" t="str">
            <v>CMPC-A-EMP-CMPC-DC-KYNDRYL-PRIN-7874440001</v>
          </cell>
          <cell r="E48" t="str">
            <v>10.220.168.10</v>
          </cell>
          <cell r="F48" t="str">
            <v>10.1.9.250</v>
          </cell>
          <cell r="G48" t="str">
            <v>ROUTER</v>
          </cell>
          <cell r="H48" t="str">
            <v>ENTEL-CMPC-A-EMP-CMPC-DC-KYNDRYL-RESP-10000065131</v>
          </cell>
          <cell r="I48" t="str">
            <v>ciscoISR4431</v>
          </cell>
          <cell r="J48" t="str">
            <v>FJC250320FJ</v>
          </cell>
          <cell r="K48" t="str">
            <v>Fibra optica</v>
          </cell>
          <cell r="L48" t="str">
            <v>600 Mbps</v>
          </cell>
          <cell r="M48" t="str">
            <v>José León</v>
          </cell>
          <cell r="N48" t="str">
            <v>+56 9 8129 7366</v>
          </cell>
          <cell r="O48" t="str">
            <v>joseignacio.leon@cmpc.cl</v>
          </cell>
          <cell r="P48" t="str">
            <v>EMPRESAS CMPC</v>
          </cell>
        </row>
        <row r="49">
          <cell r="B49">
            <v>10000011130</v>
          </cell>
          <cell r="C49" t="str">
            <v>FORMIN-PARQUE-ALESSANDRI</v>
          </cell>
          <cell r="D49" t="str">
            <v>CMPC_FUNDACION_P.ALESSANDRI_CASETA_10000011130</v>
          </cell>
          <cell r="E49" t="str">
            <v>10.221.19.50</v>
          </cell>
          <cell r="F49" t="str">
            <v>10.28.32.2</v>
          </cell>
          <cell r="G49" t="str">
            <v>ROUTER</v>
          </cell>
          <cell r="H49" t="str">
            <v>ENTEL</v>
          </cell>
          <cell r="I49" t="str">
            <v>cisco2901</v>
          </cell>
          <cell r="J49" t="str">
            <v>FJC1903A19N</v>
          </cell>
          <cell r="K49" t="str">
            <v>Inalambrico (radwin)</v>
          </cell>
          <cell r="L49" t="str">
            <v>20 Mbps</v>
          </cell>
          <cell r="M49" t="str">
            <v>Eduardo Riquelme</v>
          </cell>
          <cell r="N49" t="str">
            <v>+56 9 9359 6294</v>
          </cell>
          <cell r="O49" t="str">
            <v>eduardo.riquelme@cmpc.cl</v>
          </cell>
          <cell r="P49" t="str">
            <v>FORESTAL</v>
          </cell>
        </row>
        <row r="50">
          <cell r="B50" t="str">
            <v>10000011130-2</v>
          </cell>
          <cell r="C50" t="str">
            <v>FORMIN-PARQUE-ALESSANDRI</v>
          </cell>
          <cell r="D50" t="str">
            <v>CMPC_FUNDACION_P.ALESSANDRI_INTERIOR_10000011130-2</v>
          </cell>
          <cell r="E50" t="str">
            <v>10.221.19.62</v>
          </cell>
          <cell r="F50" t="str">
            <v>10.28.32.2</v>
          </cell>
          <cell r="G50" t="str">
            <v>ROUTER</v>
          </cell>
          <cell r="H50" t="str">
            <v>ENTEL-CMPC_FUNDACION_P.ALESSANDRI_INTERIOR_10000011130</v>
          </cell>
          <cell r="I50" t="str">
            <v>CiscoC1111-4P</v>
          </cell>
          <cell r="J50" t="str">
            <v>FGL2509LDQQ</v>
          </cell>
          <cell r="K50" t="str">
            <v>Inalambrico (radwin)</v>
          </cell>
          <cell r="L50" t="str">
            <v>20 Mbps</v>
          </cell>
          <cell r="M50" t="str">
            <v>Eduardo Riquelme</v>
          </cell>
          <cell r="N50" t="str">
            <v>+56 9 9359 6293</v>
          </cell>
          <cell r="O50" t="str">
            <v>eduardo.riquelme@cmpc.cl</v>
          </cell>
          <cell r="P50" t="str">
            <v>FORESTAL</v>
          </cell>
        </row>
        <row r="51">
          <cell r="B51">
            <v>10000270551</v>
          </cell>
          <cell r="C51" t="str">
            <v>TERCEROS-SONDA</v>
          </cell>
          <cell r="D51" t="str">
            <v>CMPC-D-TERCEROS-SONDA-PRIN-10000270551</v>
          </cell>
          <cell r="E51" t="str">
            <v>10.221.113.134</v>
          </cell>
          <cell r="F51" t="str">
            <v>10.12.2.253</v>
          </cell>
          <cell r="G51" t="str">
            <v>ROUTER</v>
          </cell>
          <cell r="H51" t="str">
            <v>ENTEL-CMPC-D-TERCEROS-SONDA-RESP-10000270555</v>
          </cell>
          <cell r="I51" t="str">
            <v>CiscoC1111-4P</v>
          </cell>
          <cell r="J51" t="str">
            <v>FGL2449L74Z</v>
          </cell>
          <cell r="K51" t="str">
            <v>Fibra optica</v>
          </cell>
          <cell r="L51" t="str">
            <v>20 Mbps</v>
          </cell>
          <cell r="M51" t="str">
            <v>Francisco Soto</v>
          </cell>
          <cell r="N51" t="str">
            <v>+56 9 7648 4772</v>
          </cell>
          <cell r="O51" t="str">
            <v>francisco.soto@cmpc.cl</v>
          </cell>
          <cell r="P51" t="str">
            <v>PULP</v>
          </cell>
        </row>
        <row r="52">
          <cell r="B52">
            <v>10000058625</v>
          </cell>
          <cell r="C52" t="str">
            <v>CELULOSA-LAJA</v>
          </cell>
          <cell r="D52" t="str">
            <v>CMPC-C-CEL-LAJA-RESP-10000058625</v>
          </cell>
          <cell r="E52" t="str">
            <v>10.221.19.106</v>
          </cell>
          <cell r="F52" t="str">
            <v>10.38.255.10</v>
          </cell>
          <cell r="G52" t="str">
            <v>ROUTER</v>
          </cell>
          <cell r="H52" t="str">
            <v>ENTEL-CMPC-C-CEL-LAJA-PRIN-10000022234</v>
          </cell>
          <cell r="I52" t="str">
            <v>ciscoISR4351</v>
          </cell>
          <cell r="J52" t="str">
            <v>FLM240411RQ</v>
          </cell>
          <cell r="K52" t="str">
            <v>Inalambrico (harris)</v>
          </cell>
          <cell r="L52" t="str">
            <v>200 Mbps</v>
          </cell>
          <cell r="M52" t="str">
            <v>Sergio Gallardo</v>
          </cell>
          <cell r="N52" t="str">
            <v>+56 9 4477 9920</v>
          </cell>
          <cell r="O52" t="str">
            <v>sergio.gallardor@cmpc.cl</v>
          </cell>
          <cell r="P52" t="str">
            <v>CELULOSA</v>
          </cell>
        </row>
        <row r="53">
          <cell r="B53">
            <v>10000022240</v>
          </cell>
          <cell r="C53" t="str">
            <v>CELULOSA-PACIFICO</v>
          </cell>
          <cell r="D53" t="str">
            <v>CMPC-C-CEL-PACIFICO-RESP-10000022240</v>
          </cell>
          <cell r="E53" t="str">
            <v>10.221.19.66</v>
          </cell>
          <cell r="F53" t="str">
            <v>10.37.255.10</v>
          </cell>
          <cell r="G53" t="str">
            <v>ROUTER</v>
          </cell>
          <cell r="H53" t="str">
            <v>ENTEL-CMPC-C-CEL-PACIFICO-PRIN-10000058627</v>
          </cell>
          <cell r="I53" t="str">
            <v>ciscoISR4351</v>
          </cell>
          <cell r="J53" t="str">
            <v>FLM25021040</v>
          </cell>
          <cell r="K53" t="str">
            <v>Fibra optica</v>
          </cell>
          <cell r="L53" t="str">
            <v>200 Mbps</v>
          </cell>
          <cell r="M53" t="str">
            <v>Sergio Gallardo</v>
          </cell>
          <cell r="N53" t="str">
            <v>+56 9 4477 9920</v>
          </cell>
          <cell r="O53" t="str">
            <v>sergio.gallardor@cmpc.cl</v>
          </cell>
          <cell r="P53" t="str">
            <v>PULP</v>
          </cell>
        </row>
        <row r="54">
          <cell r="B54">
            <v>10000065131</v>
          </cell>
          <cell r="C54" t="str">
            <v>DATA-CENTER-KYNDRYL</v>
          </cell>
          <cell r="D54" t="str">
            <v>CMPC-A-EMP-CMPC-DC-KYNDRYL-RESP-10000065131</v>
          </cell>
          <cell r="E54" t="str">
            <v>10.228.66.6</v>
          </cell>
          <cell r="F54" t="str">
            <v>10.1.9.254</v>
          </cell>
          <cell r="G54" t="str">
            <v>ROUTER</v>
          </cell>
          <cell r="H54" t="str">
            <v>ENTEL-CMPC-A-EMP-CMPC-DC-KYNDRYL-PRIN-7874440001</v>
          </cell>
          <cell r="I54" t="str">
            <v>ciscoISR4431</v>
          </cell>
          <cell r="J54" t="str">
            <v>FJC2435D0D8</v>
          </cell>
          <cell r="K54" t="str">
            <v>Fibra optica</v>
          </cell>
          <cell r="L54" t="str">
            <v>500 Mbps</v>
          </cell>
          <cell r="M54" t="str">
            <v>José León</v>
          </cell>
          <cell r="N54" t="str">
            <v>+56 9 8129 7366</v>
          </cell>
          <cell r="O54" t="str">
            <v>joseignacio.leon@cmpc.cl</v>
          </cell>
          <cell r="P54" t="str">
            <v>EMPRESAS CMPC</v>
          </cell>
        </row>
        <row r="55">
          <cell r="B55">
            <v>10000270555</v>
          </cell>
          <cell r="C55" t="str">
            <v>TERCEROS-SONDA</v>
          </cell>
          <cell r="D55" t="str">
            <v>CMPC-D-TERCEROS-SONDA-RESP-10000270555</v>
          </cell>
          <cell r="E55" t="str">
            <v>10.221.113.138</v>
          </cell>
          <cell r="F55" t="str">
            <v>10.12.2.254</v>
          </cell>
          <cell r="G55" t="str">
            <v>ROUTER</v>
          </cell>
          <cell r="H55" t="str">
            <v>ENTEL-CMPC-D-TERCEROS-SONDA-PRIN-10000270551</v>
          </cell>
          <cell r="I55" t="str">
            <v>cisco2901</v>
          </cell>
          <cell r="J55" t="str">
            <v>FTX161482KR</v>
          </cell>
          <cell r="K55" t="str">
            <v>Fibra optica</v>
          </cell>
          <cell r="L55" t="str">
            <v>10 Mbps</v>
          </cell>
          <cell r="M55" t="str">
            <v>Francisco Soto</v>
          </cell>
          <cell r="N55" t="str">
            <v>+56 9 7648 4772</v>
          </cell>
          <cell r="O55" t="str">
            <v>francisco.soto@cmpc.cl</v>
          </cell>
          <cell r="P55" t="str">
            <v>PULP</v>
          </cell>
        </row>
        <row r="56">
          <cell r="B56">
            <v>10000138902</v>
          </cell>
          <cell r="C56" t="str">
            <v>PAPELES-EIRA-OSORNO</v>
          </cell>
          <cell r="D56" t="str">
            <v>CMPC-PAPELES-EIRA-OSORNO-CONVERT1-SW-10000138902</v>
          </cell>
          <cell r="E56" t="str">
            <v>10.235.87.234</v>
          </cell>
          <cell r="F56" t="str">
            <v>N/A</v>
          </cell>
          <cell r="G56" t="str">
            <v>SWITCH</v>
          </cell>
          <cell r="I56" t="str">
            <v>ciscoWsC2960P24PcS</v>
          </cell>
          <cell r="J56" t="str">
            <v>FCW2123A31H</v>
          </cell>
          <cell r="M56" t="str">
            <v>Nicolas Morales</v>
          </cell>
          <cell r="N56" t="str">
            <v>+56 9 3865 5496</v>
          </cell>
          <cell r="O56" t="str">
            <v>nicolas.morales@cmpc.cl</v>
          </cell>
          <cell r="P56" t="str">
            <v>CORRUGADO</v>
          </cell>
        </row>
        <row r="57">
          <cell r="B57">
            <v>10000138888</v>
          </cell>
          <cell r="C57" t="str">
            <v>PAPELES-EIRA-OSORNO</v>
          </cell>
          <cell r="D57" t="str">
            <v>CMPC-PAPELES-EIRA-OSORNO-CONVERT2-SW-10000138888</v>
          </cell>
          <cell r="E57" t="str">
            <v>10.235.87.238</v>
          </cell>
          <cell r="F57" t="str">
            <v>N/A</v>
          </cell>
          <cell r="G57" t="str">
            <v>SWITCH</v>
          </cell>
          <cell r="I57" t="str">
            <v>ciscoWsC2960P24PcS</v>
          </cell>
          <cell r="J57" t="str">
            <v>FOC2126Z0KT</v>
          </cell>
          <cell r="M57" t="str">
            <v>Nicolas Morales</v>
          </cell>
          <cell r="N57" t="str">
            <v>+56 9 3865 5496</v>
          </cell>
          <cell r="O57" t="str">
            <v>nicolas.morales@cmpc.cl</v>
          </cell>
          <cell r="P57" t="str">
            <v>CORRUGADO</v>
          </cell>
        </row>
        <row r="58">
          <cell r="B58">
            <v>10000138837</v>
          </cell>
          <cell r="C58" t="str">
            <v>PAPELES-EIRA-OSORNO</v>
          </cell>
          <cell r="D58" t="str">
            <v>CMPC-PAPELES-EIRA-OSORNO-CORE-SW-10000138837</v>
          </cell>
          <cell r="E58" t="str">
            <v>10.234.50.117</v>
          </cell>
          <cell r="F58" t="str">
            <v>N/A</v>
          </cell>
          <cell r="G58" t="str">
            <v>SWITCH</v>
          </cell>
          <cell r="I58" t="str">
            <v>cat38xxstack</v>
          </cell>
          <cell r="J58" t="str">
            <v>FCW2124C025</v>
          </cell>
          <cell r="M58" t="str">
            <v>Nicolas Morales</v>
          </cell>
          <cell r="N58" t="str">
            <v>+56 9 3865 5496</v>
          </cell>
          <cell r="O58" t="str">
            <v>nicolas.morales@cmpc.cl</v>
          </cell>
          <cell r="P58" t="str">
            <v>CORRUGADO</v>
          </cell>
        </row>
        <row r="59">
          <cell r="B59">
            <v>10000138901</v>
          </cell>
          <cell r="C59" t="str">
            <v>PAPELES-EIRA-OSORNO</v>
          </cell>
          <cell r="D59" t="str">
            <v>CMPC-PAPELES-EIRA-OSORNO-ENFARD1-SW-10000138901</v>
          </cell>
          <cell r="E59" t="str">
            <v>10.235.87.235</v>
          </cell>
          <cell r="F59" t="str">
            <v>N/A</v>
          </cell>
          <cell r="G59" t="str">
            <v>SWITCH</v>
          </cell>
          <cell r="I59" t="str">
            <v>ciscoWsC2960P24PcS</v>
          </cell>
          <cell r="J59" t="str">
            <v>FOC2120Y0KA</v>
          </cell>
          <cell r="M59" t="str">
            <v>Nicolas Morales</v>
          </cell>
          <cell r="N59" t="str">
            <v>+56 9 3865 5496</v>
          </cell>
          <cell r="O59" t="str">
            <v>nicolas.morales@cmpc.cl</v>
          </cell>
          <cell r="P59" t="str">
            <v>CORRUGADO</v>
          </cell>
        </row>
        <row r="60">
          <cell r="B60">
            <v>10000372145</v>
          </cell>
          <cell r="C60" t="str">
            <v>PAPELES-EIRA-OSORNO</v>
          </cell>
          <cell r="D60" t="str">
            <v>CMPC-PAPELES-EIRA-OSORNO-ENFARD2-SW-10000372145</v>
          </cell>
          <cell r="E60" t="str">
            <v>10.235.87.230</v>
          </cell>
          <cell r="F60" t="str">
            <v>N/A</v>
          </cell>
          <cell r="G60" t="str">
            <v>SWITCH</v>
          </cell>
          <cell r="I60" t="str">
            <v>ciscoWsC2960P24PcS</v>
          </cell>
          <cell r="J60" t="str">
            <v>FOC2025W3Z4</v>
          </cell>
          <cell r="M60" t="str">
            <v>Nicolas Morales</v>
          </cell>
          <cell r="N60" t="str">
            <v>+56 9 3865 5496</v>
          </cell>
          <cell r="O60" t="str">
            <v>nicolas.morales@cmpc.cl</v>
          </cell>
          <cell r="P60" t="str">
            <v>CORRUGADO</v>
          </cell>
        </row>
        <row r="61">
          <cell r="B61">
            <v>10000138896</v>
          </cell>
          <cell r="C61" t="str">
            <v>PAPELES-EIRA-OSORNO</v>
          </cell>
          <cell r="D61" t="str">
            <v>CMPC-PAPELES-EIRA-OSORNO-MESN1-SW-10000138896</v>
          </cell>
          <cell r="E61" t="str">
            <v>10.235.87.232</v>
          </cell>
          <cell r="F61" t="str">
            <v>N/A</v>
          </cell>
          <cell r="G61" t="str">
            <v>SWITCH</v>
          </cell>
          <cell r="I61" t="str">
            <v>ciscoWsC2960P48PstS</v>
          </cell>
          <cell r="J61" t="str">
            <v>FOC2120Y16L</v>
          </cell>
          <cell r="M61" t="str">
            <v>Nicolas Morales</v>
          </cell>
          <cell r="N61" t="str">
            <v>+56 9 3865 5496</v>
          </cell>
          <cell r="O61" t="str">
            <v>nicolas.morales@cmpc.cl</v>
          </cell>
          <cell r="P61" t="str">
            <v>CORRUGADO</v>
          </cell>
        </row>
        <row r="62">
          <cell r="B62">
            <v>10000138899</v>
          </cell>
          <cell r="C62" t="str">
            <v>PAPELES-EIRA-OSORNO</v>
          </cell>
          <cell r="D62" t="str">
            <v>CMPC-PAPELES-EIRA-OSORNO-MESN2-SW-10000138899</v>
          </cell>
          <cell r="E62" t="str">
            <v>10.235.87.233</v>
          </cell>
          <cell r="F62" t="str">
            <v>N/A</v>
          </cell>
          <cell r="G62" t="str">
            <v>SWITCH</v>
          </cell>
          <cell r="I62" t="str">
            <v>ciscoWsC2960P24PcS</v>
          </cell>
          <cell r="J62" t="str">
            <v>FOC2120Y0GR</v>
          </cell>
          <cell r="M62" t="str">
            <v>Nicolas Morales</v>
          </cell>
          <cell r="N62" t="str">
            <v>+56 9 3865 5496</v>
          </cell>
          <cell r="O62" t="str">
            <v>nicolas.morales@cmpc.cl</v>
          </cell>
          <cell r="P62" t="str">
            <v>CORRUGADO</v>
          </cell>
        </row>
        <row r="63">
          <cell r="B63">
            <v>10000138892</v>
          </cell>
          <cell r="C63" t="str">
            <v>PAPELES-EIRA-OSORNO</v>
          </cell>
          <cell r="D63" t="str">
            <v>CMPC-PAPELES-EIRA-OSORNO-PORT-SW-10000138892</v>
          </cell>
          <cell r="E63" t="str">
            <v>10.235.87.231</v>
          </cell>
          <cell r="F63" t="str">
            <v>N/A</v>
          </cell>
          <cell r="G63" t="str">
            <v>SWITCH</v>
          </cell>
          <cell r="I63" t="str">
            <v>ciscoWsC2960P24PcS</v>
          </cell>
          <cell r="J63" t="str">
            <v>FOC2101Z0CR</v>
          </cell>
          <cell r="M63" t="str">
            <v>Nicolas Morales</v>
          </cell>
          <cell r="N63" t="str">
            <v>+56 9 3865 5496</v>
          </cell>
          <cell r="O63" t="str">
            <v>nicolas.morales@cmpc.cl</v>
          </cell>
          <cell r="P63" t="str">
            <v>CORRUGADO</v>
          </cell>
        </row>
        <row r="64">
          <cell r="B64">
            <v>10000372139</v>
          </cell>
          <cell r="C64" t="str">
            <v>PAPELES-EIRA-OSORNO</v>
          </cell>
          <cell r="D64" t="str">
            <v>CMPC-PAPELES-EIRA-OSORNO-SERV2-SW-10000372139</v>
          </cell>
          <cell r="E64" t="str">
            <v>10.235.87.237</v>
          </cell>
          <cell r="F64" t="str">
            <v>N/A</v>
          </cell>
          <cell r="G64" t="str">
            <v>SWITCH</v>
          </cell>
          <cell r="I64" t="str">
            <v>ciscoCat29xxStack</v>
          </cell>
          <cell r="J64" t="str">
            <v>FOC2023W3XM</v>
          </cell>
          <cell r="M64" t="str">
            <v>Nicolas Morales</v>
          </cell>
          <cell r="N64" t="str">
            <v>+56 9 3865 5496</v>
          </cell>
          <cell r="O64" t="str">
            <v>nicolas.morales@cmpc.cl</v>
          </cell>
          <cell r="P64" t="str">
            <v>CORRUGADO</v>
          </cell>
        </row>
        <row r="65">
          <cell r="B65">
            <v>10000372140</v>
          </cell>
          <cell r="C65" t="str">
            <v>PAPELES-EIRA-OSORNO</v>
          </cell>
          <cell r="D65" t="str">
            <v>CMPC-PAPELES-EIRA-OSORNO-SERV1-SW-10000372140</v>
          </cell>
          <cell r="E65" t="str">
            <v>10.235.87.236</v>
          </cell>
          <cell r="F65" t="str">
            <v>N/A</v>
          </cell>
          <cell r="G65" t="str">
            <v>SWITCH</v>
          </cell>
          <cell r="I65" t="str">
            <v>ciscoCat29xxStack</v>
          </cell>
          <cell r="J65" t="str">
            <v>FCW2023A2XK</v>
          </cell>
          <cell r="M65" t="str">
            <v>Nicolas Morales</v>
          </cell>
          <cell r="N65" t="str">
            <v>+56 9 3865 5496</v>
          </cell>
          <cell r="O65" t="str">
            <v>nicolas.morales@cmpc.cl</v>
          </cell>
          <cell r="P65" t="str">
            <v>CORRUGADO</v>
          </cell>
        </row>
        <row r="66">
          <cell r="B66">
            <v>10000372143</v>
          </cell>
          <cell r="C66" t="str">
            <v>PAPELES-EIRA-OSORNO</v>
          </cell>
          <cell r="D66" t="str">
            <v>CMPC-PAPELES-EIRA-OSORNO-SERVICIOS-SW-10000372143</v>
          </cell>
          <cell r="E66" t="str">
            <v>10.235.87.229</v>
          </cell>
          <cell r="F66" t="str">
            <v>N/A</v>
          </cell>
          <cell r="G66" t="str">
            <v>SWITCH</v>
          </cell>
          <cell r="I66" t="str">
            <v>Cisco Generic</v>
          </cell>
          <cell r="J66" t="str">
            <v>FCW2127A1TJ</v>
          </cell>
          <cell r="M66" t="str">
            <v>Nicolas Morales</v>
          </cell>
          <cell r="N66" t="str">
            <v>+56 9 3865 5496</v>
          </cell>
          <cell r="O66" t="str">
            <v>nicolas.morales@cmpc.cl</v>
          </cell>
          <cell r="P66" t="str">
            <v>CORRUGADO</v>
          </cell>
        </row>
        <row r="67">
          <cell r="B67">
            <v>7096130001</v>
          </cell>
          <cell r="C67" t="str">
            <v>CELULOSA-LAJA</v>
          </cell>
          <cell r="D67" t="str">
            <v>CMPC-C-CEL-LAJA-TELEFONIA-7096130001</v>
          </cell>
          <cell r="E67" t="str">
            <v>10.96.2.212</v>
          </cell>
          <cell r="G67" t="str">
            <v>PBX</v>
          </cell>
          <cell r="M67" t="str">
            <v>Sergio Gallardo</v>
          </cell>
          <cell r="N67" t="str">
            <v>+56 9 4477 9920</v>
          </cell>
          <cell r="O67" t="str">
            <v>sergio.gallardor@cmpc.cl</v>
          </cell>
          <cell r="P67" t="str">
            <v>CELULOSA</v>
          </cell>
        </row>
        <row r="68">
          <cell r="B68">
            <v>7096170001</v>
          </cell>
          <cell r="C68" t="str">
            <v>CELULOSA-PACIFICO</v>
          </cell>
          <cell r="D68" t="str">
            <v>CMPC-C-CEL-PACIFICO-TELEFONIA-7096170001</v>
          </cell>
          <cell r="E68" t="str">
            <v>10.96.2.164</v>
          </cell>
          <cell r="G68" t="str">
            <v>PBX</v>
          </cell>
          <cell r="M68" t="str">
            <v>Sergio Gallardo</v>
          </cell>
          <cell r="N68" t="str">
            <v>+56 9 4477 9920</v>
          </cell>
          <cell r="O68" t="str">
            <v>sergio.gallardor@cmpc.cl</v>
          </cell>
          <cell r="P68" t="str">
            <v>PULP</v>
          </cell>
        </row>
        <row r="69">
          <cell r="B69">
            <v>7096160001</v>
          </cell>
          <cell r="C69" t="str">
            <v>CELULOSA-SANTA</v>
          </cell>
          <cell r="D69" t="str">
            <v>CELULOSA-SANTA-FE-TELEFONIA-7096160001</v>
          </cell>
          <cell r="E69" t="str">
            <v>10.96.2.228</v>
          </cell>
          <cell r="G69" t="str">
            <v>PBX</v>
          </cell>
          <cell r="M69" t="str">
            <v>Sergio Gallardo</v>
          </cell>
          <cell r="N69" t="str">
            <v>+56 9 4477 9920</v>
          </cell>
          <cell r="O69" t="str">
            <v>sergio.gallardor@cmpc.cl</v>
          </cell>
          <cell r="P69" t="str">
            <v>PULP</v>
          </cell>
        </row>
        <row r="70">
          <cell r="B70">
            <v>10000320570</v>
          </cell>
          <cell r="C70" t="str">
            <v>CASA-MATRIZ</v>
          </cell>
          <cell r="D70" t="str">
            <v>EMP-CMPC-CASA-MATRIZ-TELEFONIA-10000320570</v>
          </cell>
          <cell r="E70" t="str">
            <v>10.96.11.6</v>
          </cell>
          <cell r="G70" t="str">
            <v>PBX</v>
          </cell>
          <cell r="M70" t="str">
            <v>José León</v>
          </cell>
          <cell r="N70" t="str">
            <v>+56 9 8129 7366</v>
          </cell>
          <cell r="O70" t="str">
            <v>joseignacio.leon@cmpc.cl</v>
          </cell>
          <cell r="P70" t="str">
            <v>EMPRESAS CMPC</v>
          </cell>
        </row>
        <row r="71">
          <cell r="B71">
            <v>10000514345</v>
          </cell>
          <cell r="C71" t="str">
            <v>CAPITAN-PASTENE</v>
          </cell>
          <cell r="D71" t="str">
            <v>CMPC-D-CEL-CAPITAN-PASTENE-UNIC-10000514345</v>
          </cell>
          <cell r="E71" t="str">
            <v>10.236.65.210</v>
          </cell>
          <cell r="F71" t="str">
            <v>10.28.3.254</v>
          </cell>
          <cell r="G71" t="str">
            <v>ROUTER</v>
          </cell>
          <cell r="H71" t="str">
            <v>ENTEL-UNIC</v>
          </cell>
          <cell r="I71" t="str">
            <v>CiscoC1111-4P</v>
          </cell>
          <cell r="J71" t="str">
            <v>FGL2449L737</v>
          </cell>
          <cell r="K71" t="str">
            <v>Inalambrico (harris)</v>
          </cell>
          <cell r="L71" t="str">
            <v>50 Mbps</v>
          </cell>
          <cell r="M71" t="str">
            <v>Jorge Acuña</v>
          </cell>
          <cell r="N71" t="str">
            <v>+56 9 6677 1428</v>
          </cell>
          <cell r="O71" t="str">
            <v>jorge.acuna@cmpc.cl</v>
          </cell>
          <cell r="P71" t="str">
            <v>FORESTAL</v>
          </cell>
        </row>
        <row r="72">
          <cell r="B72">
            <v>6966100001</v>
          </cell>
          <cell r="C72" t="str">
            <v>CARTULINAS-CERRILLOS</v>
          </cell>
          <cell r="D72" t="str">
            <v>CMPC-D-BIO-CARTULINAS-CERRILLOS-DITRANS-UNIC-6966100001</v>
          </cell>
          <cell r="E72" t="str">
            <v>10.220.168.26</v>
          </cell>
          <cell r="F72" t="str">
            <v>10.24.1.1</v>
          </cell>
          <cell r="G72" t="str">
            <v>ROUTER</v>
          </cell>
          <cell r="H72" t="str">
            <v>ENTEL-UNIC</v>
          </cell>
          <cell r="I72" t="str">
            <v>CiscoC1111-4P</v>
          </cell>
          <cell r="J72" t="str">
            <v>FGL2449L8SB</v>
          </cell>
          <cell r="K72" t="str">
            <v>Fibra optica</v>
          </cell>
          <cell r="L72" t="str">
            <v>20 Mbps</v>
          </cell>
          <cell r="M72" t="str">
            <v>Claudio Muñoz</v>
          </cell>
          <cell r="N72" t="str">
            <v>+56 9 4225 4553</v>
          </cell>
          <cell r="O72" t="str">
            <v>claudio.munoz@cmpc.cl</v>
          </cell>
          <cell r="P72" t="str">
            <v>BOXBOARD</v>
          </cell>
        </row>
        <row r="73">
          <cell r="B73">
            <v>10000296104</v>
          </cell>
          <cell r="C73" t="str">
            <v>CELULOSA-SANTA</v>
          </cell>
          <cell r="D73" t="str">
            <v>CMPC-C-CEL-SANTA-FE-CEN-HOTLINE-10000296104</v>
          </cell>
          <cell r="E73" t="str">
            <v>10.255.216.107</v>
          </cell>
          <cell r="F73" t="e">
            <v>#N/A</v>
          </cell>
          <cell r="G73" t="str">
            <v>ROUTER</v>
          </cell>
          <cell r="H73" t="str">
            <v>ENTEL-UNIC</v>
          </cell>
          <cell r="I73" t="str">
            <v>cisco2801</v>
          </cell>
          <cell r="J73" t="str">
            <v>FTX0942W10U</v>
          </cell>
          <cell r="K73" t="str">
            <v>No Aplica</v>
          </cell>
          <cell r="L73" t="str">
            <v>6 Mbps</v>
          </cell>
          <cell r="M73" t="str">
            <v>Sergio Gallardo</v>
          </cell>
          <cell r="N73" t="str">
            <v>+56 9 4477 9922</v>
          </cell>
          <cell r="O73" t="str">
            <v>sergio.gallardor@cmpc.cl</v>
          </cell>
          <cell r="P73" t="str">
            <v>PULP</v>
          </cell>
        </row>
        <row r="74">
          <cell r="B74">
            <v>6998890001</v>
          </cell>
          <cell r="C74" t="str">
            <v>CELULOSA-TALCA</v>
          </cell>
          <cell r="D74" t="str">
            <v>CMPC-D-CEL-TALCA-UNIC-6998890001</v>
          </cell>
          <cell r="E74" t="str">
            <v>10.233.21.54</v>
          </cell>
          <cell r="F74" t="str">
            <v>10.28.20.2</v>
          </cell>
          <cell r="G74" t="str">
            <v>ROUTER</v>
          </cell>
          <cell r="H74" t="str">
            <v>ENTEL-UNIC</v>
          </cell>
          <cell r="I74" t="str">
            <v>CiscoC1111-4P</v>
          </cell>
          <cell r="J74" t="str">
            <v>FGL2509LDRZ</v>
          </cell>
          <cell r="K74" t="str">
            <v>Fibra optica</v>
          </cell>
          <cell r="L74" t="str">
            <v>20 Mbps</v>
          </cell>
          <cell r="M74" t="str">
            <v>Jorge Acuña</v>
          </cell>
          <cell r="N74" t="str">
            <v>+56 9 6677 1428</v>
          </cell>
          <cell r="O74" t="str">
            <v>jorge.acuna@cmpc.cl</v>
          </cell>
          <cell r="P74" t="str">
            <v>CELULOSA</v>
          </cell>
        </row>
        <row r="75">
          <cell r="B75">
            <v>10000273816</v>
          </cell>
          <cell r="C75" t="str">
            <v>CASINO-CASA-MATRIZ</v>
          </cell>
          <cell r="D75" t="str">
            <v>CMPC-D-EMP-CMPC-CASINO-UNIC-10000273816</v>
          </cell>
          <cell r="E75" t="str">
            <v>10.232.8.166</v>
          </cell>
          <cell r="F75" t="str">
            <v>10.28.26.2</v>
          </cell>
          <cell r="G75" t="str">
            <v>ROUTER</v>
          </cell>
          <cell r="H75" t="str">
            <v>ENTEL-UNIC</v>
          </cell>
          <cell r="I75" t="str">
            <v>CiscoC1111-4P</v>
          </cell>
          <cell r="J75" t="str">
            <v>FGL2449L73M</v>
          </cell>
          <cell r="K75" t="str">
            <v>Fibra optica</v>
          </cell>
          <cell r="L75" t="str">
            <v>20 Mbps</v>
          </cell>
          <cell r="M75" t="str">
            <v>José León</v>
          </cell>
          <cell r="N75" t="str">
            <v>+56 9 8129 7366</v>
          </cell>
          <cell r="O75" t="str">
            <v>joseignacio.leon@cmpc.cl</v>
          </cell>
          <cell r="P75" t="str">
            <v>EMPRESAS CMPC</v>
          </cell>
        </row>
        <row r="76">
          <cell r="B76">
            <v>10000083448</v>
          </cell>
          <cell r="C76" t="str">
            <v>TERCEROS-ECOFOR-LOS-ANGELES</v>
          </cell>
          <cell r="D76" t="str">
            <v>CMPC-D-TERCEROS-ECOFOR-LOS-ANGELES-UNIC-10000083448</v>
          </cell>
          <cell r="E76" t="str">
            <v>10.220.113.42</v>
          </cell>
          <cell r="F76" t="str">
            <v>10.12.19.1</v>
          </cell>
          <cell r="G76" t="str">
            <v>ROUTER</v>
          </cell>
          <cell r="H76" t="str">
            <v>ENTEL-UNIC</v>
          </cell>
          <cell r="I76" t="str">
            <v>CiscoC1111-4P</v>
          </cell>
          <cell r="J76" t="str">
            <v>FGL2449L735</v>
          </cell>
          <cell r="K76" t="str">
            <v>Fibra optica</v>
          </cell>
          <cell r="L76" t="str">
            <v>20 Mbps</v>
          </cell>
          <cell r="M76" t="str">
            <v>Jorge Acuña</v>
          </cell>
          <cell r="N76" t="str">
            <v>+56 9 6677 1428</v>
          </cell>
          <cell r="O76" t="str">
            <v>jorge.acuna@cmpc.cl</v>
          </cell>
          <cell r="P76" t="str">
            <v>FORESTAL</v>
          </cell>
        </row>
        <row r="77">
          <cell r="B77" t="str">
            <v>6999040001</v>
          </cell>
          <cell r="C77" t="str">
            <v>EDIPAC-TEMUCO</v>
          </cell>
          <cell r="D77" t="str">
            <v>CMPC-D-BIO-EDIPAC-TEMUCO-UNIC-6999040001</v>
          </cell>
          <cell r="E77" t="str">
            <v>10.220.168.82</v>
          </cell>
          <cell r="F77" t="str">
            <v>10.28.6.2</v>
          </cell>
          <cell r="G77" t="str">
            <v>ROUTER</v>
          </cell>
          <cell r="H77" t="str">
            <v>ENTEL-UNIC</v>
          </cell>
          <cell r="I77" t="str">
            <v>CiscoC1111-4P</v>
          </cell>
          <cell r="J77" t="str">
            <v>FGL2507L01M</v>
          </cell>
          <cell r="K77" t="str">
            <v>Fibra optica</v>
          </cell>
          <cell r="L77" t="str">
            <v>20 Mbps</v>
          </cell>
          <cell r="M77" t="str">
            <v>Wilfred Olivares</v>
          </cell>
          <cell r="N77" t="str">
            <v>+56 9 4450 5919</v>
          </cell>
          <cell r="O77" t="str">
            <v>wilfred.olivares@cmpc.cl</v>
          </cell>
          <cell r="P77" t="str">
            <v>EDIPAC</v>
          </cell>
        </row>
        <row r="78">
          <cell r="B78">
            <v>10000100046</v>
          </cell>
          <cell r="C78" t="str">
            <v>PAPELES-EIRA-OSORNO</v>
          </cell>
          <cell r="D78" t="str">
            <v>CMPC-PAPELES-EIRA-OSORNO-PRIN-T3-10000100046</v>
          </cell>
          <cell r="E78" t="str">
            <v>10.221.19.154</v>
          </cell>
          <cell r="F78" t="str">
            <v>10.30.7.226</v>
          </cell>
          <cell r="G78" t="str">
            <v>ROUTER</v>
          </cell>
          <cell r="H78" t="str">
            <v>ENTEL-UNIC</v>
          </cell>
          <cell r="I78" t="str">
            <v>CiscoC1111-4P</v>
          </cell>
          <cell r="J78" t="str">
            <v>FGL2509LDPF</v>
          </cell>
          <cell r="K78" t="str">
            <v>Inalambrico (harris)</v>
          </cell>
          <cell r="L78" t="str">
            <v>70 Mbps</v>
          </cell>
          <cell r="M78" t="str">
            <v>Nicolas Morales</v>
          </cell>
          <cell r="N78" t="str">
            <v>+56 9 3865 5496</v>
          </cell>
          <cell r="O78" t="str">
            <v>nicolas.morales@cmpc.cl</v>
          </cell>
          <cell r="P78" t="str">
            <v>CORRUGADO</v>
          </cell>
        </row>
        <row r="79">
          <cell r="B79">
            <v>10000433514</v>
          </cell>
          <cell r="C79" t="str">
            <v>CMPC-D-CEL-FMININCO-CONCEPCION</v>
          </cell>
          <cell r="D79" t="str">
            <v>CMPC-D-CEL-FMININCO-CONCEPCION-UNIC-10000433514</v>
          </cell>
          <cell r="E79" t="str">
            <v>10.234.163.102</v>
          </cell>
          <cell r="F79" t="str">
            <v>10.40.15.52</v>
          </cell>
          <cell r="G79" t="str">
            <v>ROUTER</v>
          </cell>
          <cell r="H79" t="str">
            <v>ENTEL-UNIC</v>
          </cell>
          <cell r="I79" t="str">
            <v>CiscoC1111-4P</v>
          </cell>
          <cell r="J79" t="str">
            <v>FGL2526L05L</v>
          </cell>
          <cell r="K79" t="str">
            <v>Fibra optica</v>
          </cell>
          <cell r="L79" t="str">
            <v>20 Mbps</v>
          </cell>
          <cell r="M79" t="str">
            <v>Jorge Acuña</v>
          </cell>
          <cell r="N79" t="str">
            <v>+56 9 6677 1428</v>
          </cell>
          <cell r="O79" t="str">
            <v>jorge.acuna@cmpc.cl</v>
          </cell>
          <cell r="P79" t="str">
            <v>FORESTAL</v>
          </cell>
        </row>
        <row r="80">
          <cell r="B80">
            <v>6963530001</v>
          </cell>
          <cell r="C80" t="str">
            <v>CELULOSA-ANGOL</v>
          </cell>
          <cell r="D80" t="str">
            <v>CMPC-D-CEL-FORMIN-ANGOL-UNIC-6963530001</v>
          </cell>
          <cell r="E80" t="str">
            <v>10.220.168.246</v>
          </cell>
          <cell r="F80" t="str">
            <v>10.28.1.254</v>
          </cell>
          <cell r="G80" t="str">
            <v>ROUTER</v>
          </cell>
          <cell r="H80" t="str">
            <v>ENTEL-UNIC</v>
          </cell>
          <cell r="I80" t="str">
            <v>CiscoC1111-4P</v>
          </cell>
          <cell r="J80" t="str">
            <v>FGL2448L48G</v>
          </cell>
          <cell r="K80" t="str">
            <v>Fibra optica</v>
          </cell>
          <cell r="L80" t="str">
            <v>70 Mbps</v>
          </cell>
          <cell r="M80" t="str">
            <v>Jorge Acuña</v>
          </cell>
          <cell r="N80" t="str">
            <v>+56 9 6677 1428</v>
          </cell>
          <cell r="O80" t="str">
            <v>jorge.acuna@cmpc.cl</v>
          </cell>
          <cell r="P80" t="str">
            <v>FORESTAL</v>
          </cell>
        </row>
        <row r="81">
          <cell r="B81">
            <v>7808270001</v>
          </cell>
          <cell r="C81" t="str">
            <v>CELULOSA-CANETE</v>
          </cell>
          <cell r="D81" t="str">
            <v>CMPC-D-CEL-FORMIN-CANETE-UNIC-7808270001</v>
          </cell>
          <cell r="E81" t="str">
            <v>10.220.168.158</v>
          </cell>
          <cell r="F81" t="str">
            <v>10.28.30.2</v>
          </cell>
          <cell r="G81" t="str">
            <v>ROUTER</v>
          </cell>
          <cell r="H81" t="str">
            <v>ENTEL-UNIC</v>
          </cell>
          <cell r="I81" t="str">
            <v>CiscoC1111-4P</v>
          </cell>
          <cell r="J81" t="str">
            <v>FGL2449L73G</v>
          </cell>
          <cell r="K81" t="str">
            <v>Fibra optica</v>
          </cell>
          <cell r="L81" t="str">
            <v>20 Mbps</v>
          </cell>
          <cell r="M81" t="str">
            <v>Jorge Acuña</v>
          </cell>
          <cell r="N81" t="str">
            <v>+56 9 6677 1428</v>
          </cell>
          <cell r="O81" t="str">
            <v>jorge.acuna@cmpc.cl</v>
          </cell>
          <cell r="P81" t="str">
            <v>FORESTAL</v>
          </cell>
        </row>
        <row r="82">
          <cell r="B82">
            <v>10000000427</v>
          </cell>
          <cell r="C82" t="str">
            <v>FORESTAL-COYHAIQUE</v>
          </cell>
          <cell r="D82" t="str">
            <v>CMPC-D-CEL-FORESTAL-COYHAIQUE-UNIC-10000000427</v>
          </cell>
          <cell r="E82" t="str">
            <v>10.253.94.50</v>
          </cell>
          <cell r="F82" t="str">
            <v>10.28.18.2</v>
          </cell>
          <cell r="G82" t="str">
            <v>ROUTER</v>
          </cell>
          <cell r="H82" t="str">
            <v>ENTEL-UNIC</v>
          </cell>
          <cell r="I82" t="str">
            <v>CiscoC1111-4P</v>
          </cell>
          <cell r="J82" t="str">
            <v>FGL2449L73K</v>
          </cell>
          <cell r="K82" t="str">
            <v>Fibra optica</v>
          </cell>
          <cell r="L82" t="str">
            <v>20 Mbps</v>
          </cell>
          <cell r="M82" t="e">
            <v>#N/A</v>
          </cell>
          <cell r="N82" t="e">
            <v>#N/A</v>
          </cell>
          <cell r="O82" t="e">
            <v>#N/A</v>
          </cell>
          <cell r="P82" t="str">
            <v>MADERAS</v>
          </cell>
        </row>
        <row r="83">
          <cell r="B83">
            <v>10000450331</v>
          </cell>
          <cell r="C83" t="str">
            <v>FMININCO-PITRUFQUEN</v>
          </cell>
          <cell r="D83" t="str">
            <v>CMPC-D-CEL-FMININCO-PITRUFQUEN-UNIC-10000450331</v>
          </cell>
          <cell r="E83" t="str">
            <v>10.235.234.218</v>
          </cell>
          <cell r="F83" t="str">
            <v>10.28.19.2</v>
          </cell>
          <cell r="G83" t="str">
            <v>ROUTER</v>
          </cell>
          <cell r="H83" t="str">
            <v>ENTEL-UNIC</v>
          </cell>
          <cell r="I83" t="str">
            <v>CiscoC1111-4P</v>
          </cell>
          <cell r="J83" t="str">
            <v>FGL2449L729</v>
          </cell>
          <cell r="K83" t="str">
            <v>Fibra optica</v>
          </cell>
          <cell r="L83" t="str">
            <v>50 Mbps</v>
          </cell>
          <cell r="M83" t="str">
            <v>Jorge Acuña</v>
          </cell>
          <cell r="N83" t="str">
            <v>+56 9 6677 1428</v>
          </cell>
          <cell r="O83" t="str">
            <v>jorge.acuna@cmpc.cl</v>
          </cell>
          <cell r="P83" t="str">
            <v>FORESTAL</v>
          </cell>
        </row>
        <row r="84">
          <cell r="B84">
            <v>10000344647</v>
          </cell>
          <cell r="C84" t="str">
            <v>FORMIN-SAN-ANTONIO-CAMPAMENTO</v>
          </cell>
          <cell r="D84" t="str">
            <v>CMPC-D-CEL-FORMIN-SAN-ANTONIO-CAMPAMENTO-UNIC-10000344647</v>
          </cell>
          <cell r="E84" t="str">
            <v>10.234.72.254</v>
          </cell>
          <cell r="F84" t="str">
            <v>10.28.31.2</v>
          </cell>
          <cell r="G84" t="str">
            <v>ROUTER</v>
          </cell>
          <cell r="H84" t="str">
            <v>ENTEL-UNIC</v>
          </cell>
          <cell r="I84" t="str">
            <v>CiscoC1111-4P</v>
          </cell>
          <cell r="J84" t="str">
            <v>FGL2507L04Z</v>
          </cell>
          <cell r="K84" t="str">
            <v>Fibra optica</v>
          </cell>
          <cell r="L84" t="str">
            <v>50 Mbps</v>
          </cell>
          <cell r="M84" t="str">
            <v>Jorge Acuña</v>
          </cell>
          <cell r="N84" t="str">
            <v>+56 9 6677 1428</v>
          </cell>
          <cell r="O84" t="str">
            <v>jorge.acuna@cmpc.cl</v>
          </cell>
          <cell r="P84" t="str">
            <v>FORESTAL</v>
          </cell>
        </row>
        <row r="85">
          <cell r="B85">
            <v>10000500812</v>
          </cell>
          <cell r="C85" t="str">
            <v>FORMIN-TEMUCO</v>
          </cell>
          <cell r="D85" t="str">
            <v>CMPC-D-CEL-FORMIN-TEMUCO-UNIC-10000500812</v>
          </cell>
          <cell r="E85" t="str">
            <v>10.236.72.22</v>
          </cell>
          <cell r="F85" t="str">
            <v>10.28.0.254</v>
          </cell>
          <cell r="G85" t="str">
            <v>ROUTER</v>
          </cell>
          <cell r="H85" t="str">
            <v>ENTEL-UNIC</v>
          </cell>
          <cell r="I85" t="str">
            <v>CiscoC1111-4P</v>
          </cell>
          <cell r="J85" t="str">
            <v>FGL2449L7HF</v>
          </cell>
          <cell r="K85" t="str">
            <v>Fibra optica</v>
          </cell>
          <cell r="L85" t="str">
            <v>50 Mbps</v>
          </cell>
          <cell r="M85" t="str">
            <v>Jorge Acuña</v>
          </cell>
          <cell r="N85" t="str">
            <v>+56 9 6677 1428</v>
          </cell>
          <cell r="O85" t="str">
            <v>jorge.acuna@cmpc.cl</v>
          </cell>
          <cell r="P85" t="str">
            <v>FORESTAL</v>
          </cell>
        </row>
        <row r="86">
          <cell r="B86">
            <v>7810510001</v>
          </cell>
          <cell r="C86" t="str">
            <v>PORTUARIA-SAN-VICENTE</v>
          </cell>
          <cell r="D86" t="str">
            <v>CMPC-D-CEL-PORTUARIA-SAN-VICENTE-UNIC-7810510001</v>
          </cell>
          <cell r="E86" t="str">
            <v>10.228.65.38</v>
          </cell>
          <cell r="F86" t="str">
            <v>10.35.4.10</v>
          </cell>
          <cell r="G86" t="str">
            <v>ROUTER</v>
          </cell>
          <cell r="H86" t="str">
            <v>ENTEL-UNIC</v>
          </cell>
          <cell r="I86" t="str">
            <v>cisco2901</v>
          </cell>
          <cell r="J86" t="str">
            <v>FJC1903A1W0</v>
          </cell>
          <cell r="K86" t="str">
            <v>Fibra optica</v>
          </cell>
          <cell r="L86" t="str">
            <v>20 Mbps</v>
          </cell>
          <cell r="M86" t="str">
            <v>Enrique Carvajal</v>
          </cell>
          <cell r="N86" t="str">
            <v>+56 9 4450 5921</v>
          </cell>
          <cell r="O86" t="str">
            <v>enrique.carvajal@cmpc.cl</v>
          </cell>
          <cell r="P86" t="str">
            <v>CELULOSA</v>
          </cell>
        </row>
        <row r="87">
          <cell r="B87">
            <v>10000119172</v>
          </cell>
          <cell r="C87" t="str">
            <v>SOREPA-CHILLAN</v>
          </cell>
          <cell r="D87" t="str">
            <v>CMPC-D-BIO-SOREPA-CHILLAN-UNIC-10000119172</v>
          </cell>
          <cell r="E87" t="str">
            <v>10.220.168.42</v>
          </cell>
          <cell r="F87" t="str">
            <v>10.28.21.2</v>
          </cell>
          <cell r="G87" t="str">
            <v>ROUTER</v>
          </cell>
          <cell r="H87" t="str">
            <v>ENTEL-UNIC</v>
          </cell>
          <cell r="I87" t="str">
            <v>CiscoC1111-4P</v>
          </cell>
          <cell r="J87" t="str">
            <v>FGL2509LDKE</v>
          </cell>
          <cell r="K87" t="str">
            <v>Fibra optica</v>
          </cell>
          <cell r="L87" t="str">
            <v>20 Mbps</v>
          </cell>
          <cell r="M87" t="e">
            <v>#N/A</v>
          </cell>
          <cell r="N87" t="e">
            <v>#N/A</v>
          </cell>
          <cell r="O87" t="e">
            <v>#N/A</v>
          </cell>
          <cell r="P87" t="str">
            <v>CORRUGADO</v>
          </cell>
        </row>
        <row r="88">
          <cell r="B88">
            <v>7800450001</v>
          </cell>
          <cell r="C88" t="str">
            <v>SOREPA-CONCEPCION</v>
          </cell>
          <cell r="D88" t="str">
            <v>CMPC-D-BIO-SOREPA-CONCEPCION-UNIC-7800450001</v>
          </cell>
          <cell r="E88" t="str">
            <v>10.220.168.146</v>
          </cell>
          <cell r="F88" t="str">
            <v>10.28.23.2</v>
          </cell>
          <cell r="G88" t="str">
            <v>ROUTER</v>
          </cell>
          <cell r="H88" t="str">
            <v>ENTEL-UNIC</v>
          </cell>
          <cell r="I88" t="str">
            <v>CiscoC1111-4P</v>
          </cell>
          <cell r="J88" t="str">
            <v>FGL2449L73W</v>
          </cell>
          <cell r="K88" t="str">
            <v>Fibra optica</v>
          </cell>
          <cell r="L88" t="str">
            <v>20 Mbps</v>
          </cell>
          <cell r="M88" t="str">
            <v>Wilfred Olivares</v>
          </cell>
          <cell r="N88" t="str">
            <v>+56 9 9299 7414</v>
          </cell>
          <cell r="O88" t="str">
            <v>wilfred.olivares@cmpc.cl</v>
          </cell>
          <cell r="P88" t="str">
            <v>CORRUGADO</v>
          </cell>
        </row>
        <row r="89">
          <cell r="B89">
            <v>10000402765</v>
          </cell>
          <cell r="C89" t="str">
            <v>SOREPA-RANCAGUA</v>
          </cell>
          <cell r="D89" t="str">
            <v>CMPC-D-BIO-SOREPA-RANCAGUA-UNIC-10000402765</v>
          </cell>
          <cell r="E89" t="str">
            <v>10.253.44.242</v>
          </cell>
          <cell r="F89" t="str">
            <v>10.28.22.2</v>
          </cell>
          <cell r="G89" t="str">
            <v>ROUTER</v>
          </cell>
          <cell r="H89" t="str">
            <v>ENTEL-UNIC</v>
          </cell>
          <cell r="I89" t="str">
            <v>CiscoC1111-4P</v>
          </cell>
          <cell r="J89" t="str">
            <v>FGL2443LC0H</v>
          </cell>
          <cell r="K89" t="str">
            <v>Fibra optica</v>
          </cell>
          <cell r="L89" t="str">
            <v>50 Mbps</v>
          </cell>
          <cell r="M89" t="str">
            <v>Wilfred Olivares</v>
          </cell>
          <cell r="N89" t="str">
            <v>+56 9 4450 5919</v>
          </cell>
          <cell r="O89" t="str">
            <v>wilfred.olivares@cmpc.cl</v>
          </cell>
          <cell r="P89" t="str">
            <v>CORRUGADO</v>
          </cell>
        </row>
        <row r="90">
          <cell r="B90">
            <v>10000017699</v>
          </cell>
          <cell r="C90" t="str">
            <v>SOREPA-SAN-JOAQUIN</v>
          </cell>
          <cell r="D90" t="str">
            <v>CMPC-D-BIO-SOREPA-SAN-JOAQUIN-UNIC-10000017699</v>
          </cell>
          <cell r="E90" t="str">
            <v>10.234.101.110</v>
          </cell>
          <cell r="F90" t="str">
            <v>10.28.25.2</v>
          </cell>
          <cell r="G90" t="str">
            <v>ROUTER</v>
          </cell>
          <cell r="H90" t="str">
            <v>ENTEL-UNIC</v>
          </cell>
          <cell r="I90" t="str">
            <v>CiscoC1111-4P</v>
          </cell>
          <cell r="J90" t="str">
            <v>FGL2617LEPM</v>
          </cell>
          <cell r="K90" t="str">
            <v>Fibra optica</v>
          </cell>
          <cell r="L90" t="str">
            <v>45 Mbps</v>
          </cell>
          <cell r="M90" t="str">
            <v>Wilfred Olivares</v>
          </cell>
          <cell r="N90" t="str">
            <v>+56 9 4450 5919</v>
          </cell>
          <cell r="O90" t="str">
            <v>wilfred.olivares@cmpc.cl</v>
          </cell>
          <cell r="P90" t="str">
            <v>CORRUGADO</v>
          </cell>
        </row>
        <row r="91">
          <cell r="B91">
            <v>10000711182</v>
          </cell>
          <cell r="C91" t="str">
            <v>SOREPA-TALCA</v>
          </cell>
          <cell r="D91" t="str">
            <v>CMPC-SOREPA-TALCA-10000711182</v>
          </cell>
          <cell r="E91" t="str">
            <v>10.233.198.42</v>
          </cell>
          <cell r="G91" t="str">
            <v>ROUTER</v>
          </cell>
          <cell r="H91" t="str">
            <v>ENTEL-UNIC</v>
          </cell>
          <cell r="I91" t="str">
            <v>CiscoC1111-4P</v>
          </cell>
          <cell r="J91" t="str">
            <v>FGL2509LDP3</v>
          </cell>
          <cell r="K91" t="str">
            <v>Fibra optica</v>
          </cell>
          <cell r="L91" t="str">
            <v>20 Mbps</v>
          </cell>
          <cell r="M91" t="str">
            <v>Wilfred Olivares</v>
          </cell>
          <cell r="N91" t="str">
            <v>+56 9 4450 5920</v>
          </cell>
          <cell r="O91" t="str">
            <v>wilfred.olivares@cmpc.cl</v>
          </cell>
          <cell r="P91" t="str">
            <v>SOREPA</v>
          </cell>
        </row>
        <row r="92">
          <cell r="B92">
            <v>7800440001</v>
          </cell>
          <cell r="C92" t="str">
            <v>SOREPA-TEMUCO</v>
          </cell>
          <cell r="D92" t="str">
            <v>CMPC-D-BIO-SOREPA-TEMUCO-UNIC-7800440001</v>
          </cell>
          <cell r="E92" t="str">
            <v>10.220.168.110</v>
          </cell>
          <cell r="F92" t="str">
            <v>10.28.29.2</v>
          </cell>
          <cell r="G92" t="str">
            <v>ROUTER</v>
          </cell>
          <cell r="H92" t="str">
            <v>ENTEL-UNIC</v>
          </cell>
          <cell r="I92" t="str">
            <v>CiscoC1111-4P</v>
          </cell>
          <cell r="J92" t="str">
            <v>FGL2449L71R</v>
          </cell>
          <cell r="K92" t="str">
            <v>Fibra optica</v>
          </cell>
          <cell r="L92" t="str">
            <v>20 Mbps</v>
          </cell>
          <cell r="M92" t="str">
            <v>Wilfred Olivares</v>
          </cell>
          <cell r="N92" t="str">
            <v>+56 9 4450 5919</v>
          </cell>
          <cell r="O92" t="str">
            <v>wilfred.olivares@cmpc.cl</v>
          </cell>
          <cell r="P92" t="str">
            <v>CORRUGADO</v>
          </cell>
        </row>
        <row r="93">
          <cell r="B93">
            <v>6998930001</v>
          </cell>
          <cell r="C93" t="str">
            <v>CELULOSA-CHARRUA</v>
          </cell>
          <cell r="D93" t="str">
            <v>CMPC-D-CEL-CHARRUA-UNIC-6998930001</v>
          </cell>
          <cell r="E93" t="str">
            <v>10.221.19.142</v>
          </cell>
          <cell r="F93" t="str">
            <v>10.90.42.1</v>
          </cell>
          <cell r="G93" t="str">
            <v>ROUTER</v>
          </cell>
          <cell r="H93" t="str">
            <v>ENTEL-UNIC</v>
          </cell>
          <cell r="I93" t="str">
            <v>CiscoC1111-4P</v>
          </cell>
          <cell r="J93" t="str">
            <v>FGL2510L06S</v>
          </cell>
          <cell r="K93" t="str">
            <v>Fibra optica</v>
          </cell>
          <cell r="L93" t="str">
            <v>20 Mbps</v>
          </cell>
          <cell r="M93" t="str">
            <v>Sergio Gallardo</v>
          </cell>
          <cell r="N93" t="str">
            <v>+56 9 4477 9920</v>
          </cell>
          <cell r="O93" t="str">
            <v>sergio.gallardor@cmpc.cl</v>
          </cell>
          <cell r="P93" t="str">
            <v>CELULOSA</v>
          </cell>
        </row>
        <row r="94">
          <cell r="B94">
            <v>10000691052</v>
          </cell>
          <cell r="C94" t="str">
            <v>SUB-ESTACION-CABRERO</v>
          </cell>
          <cell r="D94" t="str">
            <v>CMPC-E-CABRERO-UNIC-10000691052</v>
          </cell>
          <cell r="E94" t="str">
            <v>10.232.242.96</v>
          </cell>
          <cell r="F94" t="str">
            <v>10.42.0.2</v>
          </cell>
          <cell r="G94" t="str">
            <v>ROUTER</v>
          </cell>
          <cell r="H94" t="str">
            <v>ENTEL-UNIC</v>
          </cell>
          <cell r="I94" t="str">
            <v>C1111-4P</v>
          </cell>
          <cell r="J94" t="str">
            <v>FGL2730LK6A</v>
          </cell>
          <cell r="K94" t="str">
            <v>Fibra optica</v>
          </cell>
          <cell r="L94" t="str">
            <v>20 Mbps</v>
          </cell>
          <cell r="M94" t="str">
            <v xml:space="preserve">RODRIGO HENRÍQUEZ </v>
          </cell>
          <cell r="N94" t="str">
            <v>+56 939586407</v>
          </cell>
        </row>
        <row r="95">
          <cell r="B95">
            <v>10000004780</v>
          </cell>
          <cell r="C95" t="str">
            <v>TERCEROS-ECOFOR</v>
          </cell>
          <cell r="D95" t="str">
            <v>CMPC-D-TERCEROS-ECOFOR-UNIC-10000004780</v>
          </cell>
          <cell r="E95" t="str">
            <v>10.220.113.94</v>
          </cell>
          <cell r="F95" t="str">
            <v>10.40.50.2</v>
          </cell>
          <cell r="G95" t="str">
            <v>ROUTER</v>
          </cell>
          <cell r="H95" t="str">
            <v>ENTEL-UNIC</v>
          </cell>
          <cell r="I95" t="str">
            <v>CiscoC1111-4P</v>
          </cell>
          <cell r="J95" t="str">
            <v>FGL2509LDPY</v>
          </cell>
          <cell r="K95" t="str">
            <v>Fibra optica</v>
          </cell>
          <cell r="L95" t="str">
            <v>20 Mbps</v>
          </cell>
          <cell r="M95" t="str">
            <v>Jorge Acuña</v>
          </cell>
          <cell r="N95" t="str">
            <v>+56 9 6677 1428</v>
          </cell>
          <cell r="O95" t="str">
            <v>jorge.acuna@cmpc.cl</v>
          </cell>
          <cell r="P95" t="str">
            <v>FORESTAL</v>
          </cell>
        </row>
        <row r="96">
          <cell r="B96">
            <v>7016120002</v>
          </cell>
          <cell r="C96" t="str">
            <v>TERCEROS-GENESYS</v>
          </cell>
          <cell r="D96" t="str">
            <v>CMPC-D-TERCEROS-GENESYS-UNIC-7016120002</v>
          </cell>
          <cell r="E96" t="str">
            <v>10.220.113.6</v>
          </cell>
          <cell r="F96" t="str">
            <v>10.40.190.51</v>
          </cell>
          <cell r="G96" t="str">
            <v>ROUTER</v>
          </cell>
          <cell r="H96" t="str">
            <v>ENTEL-UNIC</v>
          </cell>
          <cell r="I96" t="str">
            <v>cisco C1111-8P</v>
          </cell>
          <cell r="J96" t="str">
            <v>FGL2507L89N</v>
          </cell>
          <cell r="K96" t="str">
            <v>Fibra optica</v>
          </cell>
          <cell r="L96" t="str">
            <v>20 Mbps</v>
          </cell>
          <cell r="M96" t="str">
            <v>Jorge Acuña</v>
          </cell>
          <cell r="N96" t="str">
            <v>+56 9 6677 1428</v>
          </cell>
          <cell r="O96" t="str">
            <v>jorge.acuna@cmpc.cl</v>
          </cell>
          <cell r="P96" t="str">
            <v>PULP</v>
          </cell>
        </row>
        <row r="97">
          <cell r="B97">
            <v>10000002079</v>
          </cell>
          <cell r="C97" t="str">
            <v>TERCEROS-LM</v>
          </cell>
          <cell r="D97" t="str">
            <v>CMPC-D-BIO-TERCEROS-LM-UNIC-10000002079</v>
          </cell>
          <cell r="E97" t="str">
            <v>10.220.113.90</v>
          </cell>
          <cell r="F97" t="str">
            <v>10.12.15.1</v>
          </cell>
          <cell r="G97" t="str">
            <v>ROUTER</v>
          </cell>
          <cell r="H97" t="str">
            <v>ENTEL-UNIC</v>
          </cell>
          <cell r="I97" t="str">
            <v>CiscoC1111-4P</v>
          </cell>
          <cell r="J97" t="str">
            <v>FGL2449L8S3</v>
          </cell>
          <cell r="K97" t="str">
            <v>Fibra optica</v>
          </cell>
          <cell r="L97" t="str">
            <v>20 Mbps</v>
          </cell>
          <cell r="M97" t="str">
            <v xml:space="preserve">fransico </v>
          </cell>
          <cell r="N97">
            <v>56961707031</v>
          </cell>
          <cell r="O97" t="str">
            <v>claudio.munoz@cmpc.cl</v>
          </cell>
          <cell r="P97" t="str">
            <v>BOXBOARD</v>
          </cell>
        </row>
        <row r="98">
          <cell r="B98">
            <v>10000004781</v>
          </cell>
          <cell r="C98" t="str">
            <v>TERCEROS-SERFOVAL</v>
          </cell>
          <cell r="D98" t="str">
            <v>CMPC-D-TERCEROS-SERFOVAL-UNIC-10000004781</v>
          </cell>
          <cell r="E98" t="str">
            <v>10.220.113.98</v>
          </cell>
          <cell r="F98" t="str">
            <v>10.12.18.1</v>
          </cell>
          <cell r="G98" t="str">
            <v>ROUTER</v>
          </cell>
          <cell r="H98" t="str">
            <v>ENTEL-UNIC</v>
          </cell>
          <cell r="I98" t="str">
            <v>CiscoC1111-4P</v>
          </cell>
          <cell r="J98" t="str">
            <v>FGL2448L48C</v>
          </cell>
          <cell r="K98" t="str">
            <v>Fibra optica</v>
          </cell>
          <cell r="L98" t="str">
            <v>20 Mbps</v>
          </cell>
          <cell r="M98" t="str">
            <v>Jorge Acuña</v>
          </cell>
          <cell r="N98" t="str">
            <v>+56 9 6677 1428</v>
          </cell>
          <cell r="O98" t="str">
            <v>jorge.acuna@cmpc.cl</v>
          </cell>
          <cell r="P98" t="str">
            <v>FORESTAL</v>
          </cell>
        </row>
        <row r="99">
          <cell r="B99">
            <v>10000002550</v>
          </cell>
          <cell r="C99" t="str">
            <v>MADERAS-PAILLIHUE-VIVERO-CDOUGLAS</v>
          </cell>
          <cell r="D99" t="str">
            <v>CMPC-D-CEL-MADERAS-PAILLIHUE-VIVERO-CDOUGLAS-UNIC-10000002550</v>
          </cell>
          <cell r="E99" t="str">
            <v>10.228.65.90</v>
          </cell>
          <cell r="F99" t="str">
            <v>10.28.7.2</v>
          </cell>
          <cell r="G99" t="str">
            <v>ROUTER</v>
          </cell>
          <cell r="H99" t="str">
            <v>ENTEL-UNIC</v>
          </cell>
          <cell r="I99" t="str">
            <v>CiscoC1111-4P</v>
          </cell>
          <cell r="J99" t="str">
            <v>FGL2449L8S2</v>
          </cell>
          <cell r="K99" t="str">
            <v>Inalambrico (radwin)</v>
          </cell>
          <cell r="L99" t="str">
            <v>20 Mbps</v>
          </cell>
          <cell r="M99" t="str">
            <v>Jorge Acuña</v>
          </cell>
          <cell r="N99" t="str">
            <v>+56 9 6677 1428</v>
          </cell>
          <cell r="O99" t="str">
            <v>jorge.acuna@cmpc.cl</v>
          </cell>
          <cell r="P99" t="str">
            <v>MADERAS</v>
          </cell>
        </row>
        <row r="100">
          <cell r="B100">
            <v>10000581441</v>
          </cell>
          <cell r="C100" t="str">
            <v>CAPITAN-PASTENE</v>
          </cell>
          <cell r="D100" t="str">
            <v>CMPC-D-CEL-CAPITAN-PASTENE-UPS-10000581441</v>
          </cell>
          <cell r="E100" t="str">
            <v>10.234.178.142</v>
          </cell>
          <cell r="F100" t="str">
            <v>N/A</v>
          </cell>
          <cell r="G100" t="str">
            <v>UPS</v>
          </cell>
          <cell r="I100" t="str">
            <v>UPS ENERSAFE 2 KVA</v>
          </cell>
          <cell r="J100" t="str">
            <v xml:space="preserve"> 3926165909</v>
          </cell>
          <cell r="M100" t="str">
            <v>Jorge Acuña</v>
          </cell>
          <cell r="N100" t="str">
            <v>+56 9 6677 1429</v>
          </cell>
          <cell r="O100" t="str">
            <v>jorge.acuna@cmpc.cl</v>
          </cell>
          <cell r="P100" t="str">
            <v>FORESTAL</v>
          </cell>
        </row>
        <row r="101">
          <cell r="B101">
            <v>10000581661</v>
          </cell>
          <cell r="C101" t="str">
            <v>CARTULINAS-CERRILLOS</v>
          </cell>
          <cell r="D101" t="str">
            <v>CMPC-D-BIO-CARTULINAS-CERRILLOS-DITRANS-UPS-10000581661</v>
          </cell>
          <cell r="E101" t="str">
            <v>10.236.111.158</v>
          </cell>
          <cell r="F101" t="str">
            <v>N/A</v>
          </cell>
          <cell r="G101" t="str">
            <v>UPS</v>
          </cell>
          <cell r="I101" t="str">
            <v>UPS ENERSAFE 2 KVA</v>
          </cell>
          <cell r="J101" t="str">
            <v xml:space="preserve"> 3926185851</v>
          </cell>
          <cell r="M101" t="str">
            <v>Claudio Muñoz</v>
          </cell>
          <cell r="N101" t="str">
            <v>+56 9 4225 4554</v>
          </cell>
          <cell r="O101" t="str">
            <v>claudio.munoz@cmpc.cl</v>
          </cell>
          <cell r="P101" t="str">
            <v>BOXBOARD</v>
          </cell>
        </row>
        <row r="102">
          <cell r="B102">
            <v>10000569605</v>
          </cell>
          <cell r="C102" t="str">
            <v>CARTULINAS-MAULE</v>
          </cell>
          <cell r="D102" t="str">
            <v>CMPC-C-BIO-CARTULINAS-MAULE-UPS-10000569605</v>
          </cell>
          <cell r="E102" t="str">
            <v>10.223.1.6</v>
          </cell>
          <cell r="F102" t="str">
            <v>N/A</v>
          </cell>
          <cell r="G102" t="str">
            <v>UPS</v>
          </cell>
          <cell r="I102" t="str">
            <v>UPS ENERSAFE 2 KVA</v>
          </cell>
          <cell r="J102" t="str">
            <v>3926583340</v>
          </cell>
          <cell r="M102" t="str">
            <v>Claudio Muñoz</v>
          </cell>
          <cell r="N102" t="str">
            <v>+56 9 4225 4554</v>
          </cell>
          <cell r="O102" t="str">
            <v>claudio.munoz@cmpc.cl</v>
          </cell>
          <cell r="P102" t="str">
            <v>BOXBOARD</v>
          </cell>
        </row>
        <row r="103">
          <cell r="B103">
            <v>10000569832</v>
          </cell>
          <cell r="C103" t="str">
            <v>CARTULINAS-VALDIVIA</v>
          </cell>
          <cell r="D103" t="str">
            <v>CMPC-C-BIO-CARTULINAS-VALDIVIA-UPS-10000569832</v>
          </cell>
          <cell r="E103" t="str">
            <v>10.236.111.22</v>
          </cell>
          <cell r="F103" t="str">
            <v>N/A</v>
          </cell>
          <cell r="G103" t="str">
            <v>UPS</v>
          </cell>
          <cell r="I103" t="str">
            <v>UPS ENERSAFE 2 KVA</v>
          </cell>
          <cell r="J103" t="str">
            <v xml:space="preserve"> 	3926185567</v>
          </cell>
          <cell r="M103" t="str">
            <v>Claudio Muñoz</v>
          </cell>
          <cell r="N103">
            <v>56942254554</v>
          </cell>
          <cell r="O103" t="str">
            <v>claudio.munoz@cmpc.cl</v>
          </cell>
          <cell r="P103" t="str">
            <v>BOXBOARD</v>
          </cell>
        </row>
        <row r="104">
          <cell r="B104">
            <v>10000569825</v>
          </cell>
          <cell r="C104" t="str">
            <v>CELULOSA-LAJA</v>
          </cell>
          <cell r="D104" t="str">
            <v>CMPC-C-CEL-LAJA-UPS-10000569825</v>
          </cell>
          <cell r="E104" t="str">
            <v>10.234.179.158</v>
          </cell>
          <cell r="F104" t="str">
            <v>N/A</v>
          </cell>
          <cell r="G104" t="str">
            <v>UPS</v>
          </cell>
          <cell r="I104" t="str">
            <v>UPS ENERSAFE 2 KVA</v>
          </cell>
          <cell r="J104" t="str">
            <v xml:space="preserve"> 3926185835</v>
          </cell>
          <cell r="M104" t="str">
            <v>Sergio Gallardo</v>
          </cell>
          <cell r="N104" t="str">
            <v>+56 9 4477 9920</v>
          </cell>
          <cell r="O104" t="str">
            <v>sergio.gallardor@cmpc.cl</v>
          </cell>
          <cell r="P104" t="str">
            <v>CELULOSA</v>
          </cell>
        </row>
        <row r="105">
          <cell r="B105">
            <v>10000569827</v>
          </cell>
          <cell r="C105" t="str">
            <v>CELULOSA-PACIFICO</v>
          </cell>
          <cell r="D105" t="str">
            <v>CMPC-C-CEL-PACIFICO-UPS-10000569827</v>
          </cell>
          <cell r="E105" t="str">
            <v>10.234.178.246</v>
          </cell>
          <cell r="F105" t="str">
            <v>N/A</v>
          </cell>
          <cell r="G105" t="str">
            <v>UPS</v>
          </cell>
          <cell r="I105" t="str">
            <v>UPS ENERSAFE 2 KVA</v>
          </cell>
          <cell r="J105" t="str">
            <v xml:space="preserve"> 3926185608</v>
          </cell>
          <cell r="M105" t="str">
            <v>Sergio Gallardo</v>
          </cell>
          <cell r="N105" t="str">
            <v>+56 9 4477 9921</v>
          </cell>
          <cell r="O105" t="str">
            <v>sergio.gallardor@cmpc.cl</v>
          </cell>
          <cell r="P105" t="str">
            <v>PULP</v>
          </cell>
        </row>
        <row r="106">
          <cell r="B106">
            <v>10000569824</v>
          </cell>
          <cell r="C106" t="str">
            <v>CELULOSA-SANTA</v>
          </cell>
          <cell r="D106" t="str">
            <v>CMPC-C-CEL-SANTA-FE-UPS-10000569824</v>
          </cell>
          <cell r="E106" t="str">
            <v>10.236.111.238</v>
          </cell>
          <cell r="F106" t="str">
            <v>N/A</v>
          </cell>
          <cell r="G106" t="str">
            <v>UPS</v>
          </cell>
          <cell r="I106" t="str">
            <v>UPS ENERSAFE 2 KVA</v>
          </cell>
          <cell r="J106" t="str">
            <v xml:space="preserve"> 420167977CA6854300739</v>
          </cell>
          <cell r="M106" t="str">
            <v>Sergio Gallardo</v>
          </cell>
          <cell r="N106" t="str">
            <v>+56 9 4477 9921</v>
          </cell>
          <cell r="O106" t="str">
            <v>sergio.gallardor@cmpc.cl</v>
          </cell>
          <cell r="P106" t="str">
            <v>PULP</v>
          </cell>
        </row>
        <row r="107">
          <cell r="B107">
            <v>10000581480</v>
          </cell>
          <cell r="C107" t="str">
            <v>CELULOSA-TALCA</v>
          </cell>
          <cell r="D107" t="str">
            <v>CMPC-D-CEL-TALCA-UPS-10000581480</v>
          </cell>
          <cell r="E107" t="str">
            <v>10.234.178.214</v>
          </cell>
          <cell r="F107" t="str">
            <v>N/A</v>
          </cell>
          <cell r="G107" t="str">
            <v>UPS</v>
          </cell>
          <cell r="I107" t="str">
            <v>UPS ENERSAFE 2 KVA</v>
          </cell>
          <cell r="J107" t="str">
            <v xml:space="preserve"> 3926185486</v>
          </cell>
          <cell r="M107" t="str">
            <v>Jorge Acuña</v>
          </cell>
          <cell r="N107" t="str">
            <v>+56 9 6677 1429</v>
          </cell>
          <cell r="O107" t="str">
            <v>jorge.acuna@cmpc.cl</v>
          </cell>
          <cell r="P107" t="str">
            <v>CELULOSA</v>
          </cell>
        </row>
        <row r="108">
          <cell r="B108">
            <v>10000569561</v>
          </cell>
          <cell r="C108" t="str">
            <v>CHIMOLSA-PUENTE-ALTO</v>
          </cell>
          <cell r="D108" t="str">
            <v>CMPC-C-BIO-CHIMOLSA-PTE-ALTO-UPS-10000569561</v>
          </cell>
          <cell r="E108" t="str">
            <v>10.223.1.30</v>
          </cell>
          <cell r="F108" t="str">
            <v>N/A</v>
          </cell>
          <cell r="G108" t="str">
            <v>UPS</v>
          </cell>
          <cell r="I108" t="str">
            <v>UPS ENERSAFE 2 KVA</v>
          </cell>
          <cell r="J108" t="str">
            <v xml:space="preserve"> 	3926579221</v>
          </cell>
          <cell r="M108" t="str">
            <v>Nicolas Morales</v>
          </cell>
          <cell r="N108" t="str">
            <v>+56 9 3865 5496</v>
          </cell>
          <cell r="O108" t="str">
            <v>nicolas.morales@cmpc.cl</v>
          </cell>
          <cell r="P108" t="str">
            <v>CORRUGADO</v>
          </cell>
        </row>
        <row r="109">
          <cell r="B109">
            <v>10000569575</v>
          </cell>
          <cell r="C109" t="str">
            <v>CASINO-CASA-MATRIZ</v>
          </cell>
          <cell r="D109" t="str">
            <v>CMPC-D-EMP-CMPC-CASINO-UPS-10000569575</v>
          </cell>
          <cell r="E109" t="str">
            <v>10.236.111.230</v>
          </cell>
          <cell r="F109" t="str">
            <v>N/A</v>
          </cell>
          <cell r="G109" t="str">
            <v>UPS</v>
          </cell>
          <cell r="I109" t="str">
            <v>UPS ENERSAFE 2 KVA</v>
          </cell>
          <cell r="J109" t="str">
            <v xml:space="preserve"> 3926185691</v>
          </cell>
          <cell r="M109" t="str">
            <v>José León</v>
          </cell>
          <cell r="N109" t="str">
            <v>+56 9 8129 7367</v>
          </cell>
          <cell r="O109" t="str">
            <v>joseignacio.leon@cmpc.cl</v>
          </cell>
          <cell r="P109" t="str">
            <v>EMPRESAS CMPC</v>
          </cell>
        </row>
        <row r="110">
          <cell r="B110">
            <v>10000583595</v>
          </cell>
          <cell r="C110" t="str">
            <v>TERCEROS-ECOFOR-LOS-ANGELES</v>
          </cell>
          <cell r="D110" t="str">
            <v>CMPC-D-TERCEROS-ECOFOR-LOS-ANGELES-UPS-10000583595</v>
          </cell>
          <cell r="E110" t="str">
            <v>10.236.111.46</v>
          </cell>
          <cell r="F110" t="str">
            <v>N/A</v>
          </cell>
          <cell r="G110" t="str">
            <v>UPS</v>
          </cell>
          <cell r="I110" t="str">
            <v>UPS ENERSAFE 2 KVA</v>
          </cell>
          <cell r="J110" t="str">
            <v xml:space="preserve"> 3926186089</v>
          </cell>
          <cell r="M110" t="str">
            <v>Jorge Acuña</v>
          </cell>
          <cell r="N110" t="str">
            <v>+56 9 6677 1429</v>
          </cell>
          <cell r="O110" t="str">
            <v>jorge.acuna@cmpc.cl</v>
          </cell>
          <cell r="P110" t="str">
            <v>FORESTAL</v>
          </cell>
        </row>
        <row r="111">
          <cell r="B111">
            <v>10000581655</v>
          </cell>
          <cell r="C111" t="str">
            <v>EDIPAC-CONCEPCION</v>
          </cell>
          <cell r="D111" t="str">
            <v xml:space="preserve">CMPC-D-BIO-EDIPAC-CONCEPCION-UPS-10000581655 </v>
          </cell>
          <cell r="E111" t="str">
            <v>10.234.179.30</v>
          </cell>
          <cell r="F111" t="str">
            <v>N/A</v>
          </cell>
          <cell r="G111" t="str">
            <v>UPS</v>
          </cell>
          <cell r="I111" t="str">
            <v>UPS ENERSAFE 2 KVA</v>
          </cell>
          <cell r="J111" t="str">
            <v xml:space="preserve"> 3926186163</v>
          </cell>
          <cell r="K111" t="str">
            <v>COBRE</v>
          </cell>
          <cell r="O111" t="str">
            <v>jorge.acuna@cmpc.cl</v>
          </cell>
          <cell r="P111" t="str">
            <v>EDIPAC</v>
          </cell>
        </row>
        <row r="112">
          <cell r="B112">
            <v>10000569579</v>
          </cell>
          <cell r="C112" t="str">
            <v>EDIPAC-QUILICURA</v>
          </cell>
          <cell r="D112" t="str">
            <v>CMPC-C-BIO-EDIPAC-QUILICURA-UPS-10000569579</v>
          </cell>
          <cell r="E112" t="str">
            <v>10.223.1.22</v>
          </cell>
          <cell r="F112" t="str">
            <v>N/A</v>
          </cell>
          <cell r="G112" t="str">
            <v>UPS</v>
          </cell>
          <cell r="I112" t="str">
            <v>UPS ENERSAFE 2 KVA</v>
          </cell>
          <cell r="J112" t="str">
            <v xml:space="preserve"> 3926582959</v>
          </cell>
          <cell r="M112" t="str">
            <v>Wilfred Olivares</v>
          </cell>
          <cell r="N112" t="str">
            <v>+56 9 4450 5920</v>
          </cell>
          <cell r="O112" t="str">
            <v>wilfred.olivares@cmpc.cl</v>
          </cell>
          <cell r="P112" t="str">
            <v>EDIPAC</v>
          </cell>
        </row>
        <row r="113">
          <cell r="B113">
            <v>10000581653</v>
          </cell>
          <cell r="C113" t="str">
            <v>EDIPAC-TEMUCO</v>
          </cell>
          <cell r="D113" t="str">
            <v>CMPC-D-BIO-EDIPAC-TEMUCO-UPS-10000581653</v>
          </cell>
          <cell r="E113" t="str">
            <v>10.236.111.62</v>
          </cell>
          <cell r="F113" t="str">
            <v>N/A</v>
          </cell>
          <cell r="G113" t="str">
            <v>UPS</v>
          </cell>
          <cell r="I113" t="str">
            <v>UPS ENERSAFE 2 KVA</v>
          </cell>
          <cell r="J113" t="str">
            <v>GA15R43501</v>
          </cell>
          <cell r="K113" t="str">
            <v>cmpc//</v>
          </cell>
          <cell r="M113" t="str">
            <v>Wilfred Olivares</v>
          </cell>
          <cell r="N113" t="str">
            <v>+56 9 4450 5920</v>
          </cell>
          <cell r="O113" t="str">
            <v>wilfred.olivares@cmpc.cl</v>
          </cell>
          <cell r="P113" t="str">
            <v>EDIPAC</v>
          </cell>
        </row>
        <row r="114">
          <cell r="B114">
            <v>10000581659</v>
          </cell>
          <cell r="C114" t="str">
            <v>ENVASES-ROBLE-ALTO-BUIN</v>
          </cell>
          <cell r="D114" t="str">
            <v>CMPC-D-BIO-ENVASES-ROBLE-ALTO-BUIN-UPS-10000581659</v>
          </cell>
          <cell r="E114" t="str">
            <v>10.236.111.174</v>
          </cell>
          <cell r="F114" t="str">
            <v>N/A</v>
          </cell>
          <cell r="G114" t="str">
            <v>UPS</v>
          </cell>
          <cell r="I114" t="str">
            <v>UPS ENERSAFE 2 KVA</v>
          </cell>
          <cell r="J114" t="str">
            <v xml:space="preserve"> 3926185762</v>
          </cell>
          <cell r="M114" t="str">
            <v>Nicolas Morales</v>
          </cell>
          <cell r="N114" t="str">
            <v>+56 9 3865 5496</v>
          </cell>
          <cell r="O114" t="str">
            <v>nicolas.morales@cmpc.cl</v>
          </cell>
          <cell r="P114" t="str">
            <v>CORRUGADO</v>
          </cell>
        </row>
        <row r="115">
          <cell r="B115">
            <v>10000581414</v>
          </cell>
          <cell r="C115" t="str">
            <v>ENVASES-EIRA-LO-ESPEJO</v>
          </cell>
          <cell r="D115" t="str">
            <v>CMPC-D-BIO-ENVASES-EIRA-LO-ESPEJO-UPS-10000581414</v>
          </cell>
          <cell r="E115" t="str">
            <v>10.255.15.86</v>
          </cell>
          <cell r="F115" t="str">
            <v>N/A</v>
          </cell>
          <cell r="G115" t="str">
            <v>UPS</v>
          </cell>
          <cell r="I115" t="str">
            <v>UPS ENERSAFE 2 KVA</v>
          </cell>
          <cell r="J115" t="str">
            <v xml:space="preserve"> 3926185824</v>
          </cell>
          <cell r="M115" t="str">
            <v>Nicolas Morales</v>
          </cell>
          <cell r="N115" t="str">
            <v>+56 9 3865 5496</v>
          </cell>
          <cell r="O115" t="str">
            <v>nicolas.morales@cmpc.cl</v>
          </cell>
          <cell r="P115" t="str">
            <v>CORRUGADO</v>
          </cell>
        </row>
        <row r="116">
          <cell r="B116">
            <v>10000372573</v>
          </cell>
          <cell r="C116" t="str">
            <v>PAPELES-EIRA-OSORNO</v>
          </cell>
          <cell r="D116" t="str">
            <v>CMPC-PAPELES-EIRA-OSORNO-CONVERT-UPS-10000372573</v>
          </cell>
          <cell r="E116" t="str">
            <v>10.235.87.251</v>
          </cell>
          <cell r="F116" t="str">
            <v>NO</v>
          </cell>
          <cell r="G116" t="str">
            <v>UPS</v>
          </cell>
          <cell r="I116" t="str">
            <v>apcSmart-UPS1000</v>
          </cell>
          <cell r="J116" t="str">
            <v>SIN ACCESO</v>
          </cell>
          <cell r="M116" t="str">
            <v>Nicolas Morales</v>
          </cell>
          <cell r="N116" t="str">
            <v>+56 9 3865 5496</v>
          </cell>
          <cell r="O116" t="str">
            <v>nicolas.morales@cmpc.cl</v>
          </cell>
          <cell r="P116" t="str">
            <v>CORRUGADO</v>
          </cell>
        </row>
        <row r="117">
          <cell r="B117">
            <v>10000372569</v>
          </cell>
          <cell r="C117" t="str">
            <v>PAPELES-EIRA-OSORNO</v>
          </cell>
          <cell r="D117" t="str">
            <v>CMPC-PAPELES-EIRA-OSORNO-ENFARD-UPS-10000372569</v>
          </cell>
          <cell r="E117" t="str">
            <v>10.235.87.254</v>
          </cell>
          <cell r="F117" t="str">
            <v>NO</v>
          </cell>
          <cell r="G117" t="str">
            <v>UPS</v>
          </cell>
          <cell r="I117" t="str">
            <v>apcSmart-UPS1000</v>
          </cell>
          <cell r="J117" t="str">
            <v>SIN ACCESO</v>
          </cell>
          <cell r="M117" t="str">
            <v>Nicolas Morales</v>
          </cell>
          <cell r="N117" t="str">
            <v>+56 9 3865 5496</v>
          </cell>
          <cell r="O117" t="str">
            <v>nicolas.morales@cmpc.cl</v>
          </cell>
          <cell r="P117" t="str">
            <v>CORRUGADO</v>
          </cell>
        </row>
        <row r="118">
          <cell r="B118">
            <v>10000372574</v>
          </cell>
          <cell r="C118" t="str">
            <v>PAPELES-EIRA-OSORNO</v>
          </cell>
          <cell r="D118" t="str">
            <v>CMPC-PAPELES-EIRA-OSORNO-MESN-UPS-10000372574</v>
          </cell>
          <cell r="E118" t="str">
            <v>10.235.87.253</v>
          </cell>
          <cell r="F118" t="str">
            <v>NO</v>
          </cell>
          <cell r="G118" t="str">
            <v>UPS</v>
          </cell>
          <cell r="I118" t="str">
            <v>apcSmart-UPS1000</v>
          </cell>
          <cell r="J118" t="str">
            <v>SIN ACCESO</v>
          </cell>
          <cell r="M118" t="str">
            <v>Nicolas Morales</v>
          </cell>
          <cell r="N118" t="str">
            <v>+56 9 3865 5496</v>
          </cell>
          <cell r="O118" t="str">
            <v>nicolas.morales@cmpc.cl</v>
          </cell>
          <cell r="P118" t="str">
            <v>CORRUGADO</v>
          </cell>
        </row>
        <row r="119">
          <cell r="B119">
            <v>10000372568</v>
          </cell>
          <cell r="C119" t="str">
            <v>PAPELES-EIRA-OSORNO</v>
          </cell>
          <cell r="D119" t="str">
            <v>CMPC-PAPELES-EIRA-OSORNO-PORT-UPS-10000372568</v>
          </cell>
          <cell r="E119" t="str">
            <v>10.235.87.252</v>
          </cell>
          <cell r="F119" t="str">
            <v>NO</v>
          </cell>
          <cell r="G119" t="str">
            <v>UPS</v>
          </cell>
          <cell r="I119" t="str">
            <v>apcSmart-UPS1000</v>
          </cell>
          <cell r="J119" t="str">
            <v xml:space="preserve"> AS2239193717</v>
          </cell>
          <cell r="M119" t="str">
            <v>Nicolas Morales</v>
          </cell>
          <cell r="N119" t="str">
            <v>+56 9 3865 5496</v>
          </cell>
          <cell r="O119" t="str">
            <v>nicolas.morales@cmpc.cl</v>
          </cell>
          <cell r="P119" t="str">
            <v>CORRUGADO</v>
          </cell>
        </row>
        <row r="120">
          <cell r="B120">
            <v>10000569834</v>
          </cell>
          <cell r="C120" t="str">
            <v>PAPELES-EIRA-OSORNO</v>
          </cell>
          <cell r="D120" t="str">
            <v>CMPC-PAPELES-EIRA-OSORNO-UPS-T3-10000569834</v>
          </cell>
          <cell r="E120" t="str">
            <v>10.236.111.166</v>
          </cell>
          <cell r="F120" t="str">
            <v>N/A</v>
          </cell>
          <cell r="G120" t="str">
            <v>UPS</v>
          </cell>
          <cell r="I120" t="str">
            <v>UPS ENERSAFE 2 KVA</v>
          </cell>
          <cell r="J120" t="str">
            <v>3926185720</v>
          </cell>
          <cell r="M120" t="str">
            <v>Nicolas Morales</v>
          </cell>
          <cell r="N120" t="str">
            <v>+56 9 3865 5496</v>
          </cell>
          <cell r="O120" t="str">
            <v>nicolas.morales@cmpc.cl</v>
          </cell>
          <cell r="P120" t="str">
            <v>CORRUGADO</v>
          </cell>
        </row>
        <row r="121">
          <cell r="B121">
            <v>10000569589</v>
          </cell>
          <cell r="C121" t="str">
            <v>ENVASES-ROBLE-ALTO-TIL-TIL</v>
          </cell>
          <cell r="D121" t="str">
            <v>CMPC-C-BIO-ENVASES-ROBLE-ALTO-TIL-TIL-UPS-10000569589</v>
          </cell>
          <cell r="E121" t="str">
            <v>10.234.178.206</v>
          </cell>
          <cell r="F121" t="str">
            <v>N/A</v>
          </cell>
          <cell r="G121" t="str">
            <v>UPS</v>
          </cell>
          <cell r="I121" t="str">
            <v>UPS ENERSAFE 2 KVA</v>
          </cell>
          <cell r="J121" t="str">
            <v xml:space="preserve"> 3926185520</v>
          </cell>
          <cell r="M121" t="str">
            <v>Nicolas Morales</v>
          </cell>
          <cell r="N121" t="str">
            <v>+56 9 3865 5496</v>
          </cell>
          <cell r="O121" t="str">
            <v>nicolas.morales@cmpc.cl</v>
          </cell>
          <cell r="P121" t="str">
            <v>CORRUGADO</v>
          </cell>
        </row>
        <row r="122">
          <cell r="B122">
            <v>10000581433</v>
          </cell>
          <cell r="C122" t="str">
            <v>CELULOSA-ANGOL</v>
          </cell>
          <cell r="D122" t="str">
            <v>CMPC-D-CEL-FORMIN-ANGOL-UPS-10000581433</v>
          </cell>
          <cell r="E122" t="str">
            <v>10.236.111.190</v>
          </cell>
          <cell r="F122" t="str">
            <v>N/A</v>
          </cell>
          <cell r="G122" t="str">
            <v>UPS</v>
          </cell>
          <cell r="I122" t="str">
            <v>UPS ENERSAFE 2 KVA</v>
          </cell>
          <cell r="J122" t="str">
            <v xml:space="preserve"> 3926185462</v>
          </cell>
          <cell r="M122" t="str">
            <v>Jorge Acuña</v>
          </cell>
          <cell r="N122" t="str">
            <v>+56 9 6677 1429</v>
          </cell>
          <cell r="O122" t="str">
            <v>jorge.acuna@cmpc.cl</v>
          </cell>
          <cell r="P122" t="str">
            <v>FORESTAL</v>
          </cell>
        </row>
        <row r="123">
          <cell r="B123">
            <v>10000581438</v>
          </cell>
          <cell r="C123" t="str">
            <v>CELULOSA-CANETE</v>
          </cell>
          <cell r="D123" t="str">
            <v>CMPC-D-CEL-FORMIN-CANETE-UPS-10000581438</v>
          </cell>
          <cell r="E123" t="str">
            <v>10.236.111.254</v>
          </cell>
          <cell r="F123" t="str">
            <v>N/A</v>
          </cell>
          <cell r="G123" t="str">
            <v>UPS</v>
          </cell>
          <cell r="I123" t="str">
            <v>UPS ENERSAFE 2 KVA</v>
          </cell>
          <cell r="J123" t="str">
            <v xml:space="preserve"> 3926185614</v>
          </cell>
          <cell r="M123" t="str">
            <v>Jorge Acuña</v>
          </cell>
          <cell r="N123" t="str">
            <v>+56 9 6677 1429</v>
          </cell>
          <cell r="O123" t="str">
            <v>jorge.acuna@cmpc.cl</v>
          </cell>
          <cell r="P123" t="str">
            <v>FORESTAL</v>
          </cell>
        </row>
        <row r="124">
          <cell r="B124">
            <v>10000581488</v>
          </cell>
          <cell r="C124" t="str">
            <v>FORESTAL-COYHAIQUE</v>
          </cell>
          <cell r="D124" t="str">
            <v>CMPC-D-CEL-FORESTAL-COYHAIQUE-UPS-10000581488</v>
          </cell>
          <cell r="E124" t="str">
            <v>10.236.111.222</v>
          </cell>
          <cell r="F124" t="str">
            <v>N/A</v>
          </cell>
          <cell r="G124" t="str">
            <v>UPS</v>
          </cell>
          <cell r="I124" t="str">
            <v>UPS ENERSAFE 2 KVA</v>
          </cell>
          <cell r="J124" t="str">
            <v xml:space="preserve"> 3926185729</v>
          </cell>
          <cell r="M124" t="e">
            <v>#N/A</v>
          </cell>
          <cell r="N124" t="e">
            <v>#N/A</v>
          </cell>
          <cell r="O124" t="e">
            <v>#N/A</v>
          </cell>
          <cell r="P124" t="str">
            <v>MADERAS</v>
          </cell>
        </row>
        <row r="125">
          <cell r="B125">
            <v>10000581436</v>
          </cell>
          <cell r="C125" t="str">
            <v>FMININCO-PITRUFQUEN</v>
          </cell>
          <cell r="D125" t="str">
            <v>CMPC-D-CEL-FMININCO-PITRUFQUEN-UPS-10000581436</v>
          </cell>
          <cell r="E125" t="str">
            <v>10.234.179.150</v>
          </cell>
          <cell r="F125" t="str">
            <v>N/A</v>
          </cell>
          <cell r="G125" t="str">
            <v>UPS</v>
          </cell>
          <cell r="I125" t="str">
            <v>UPS ENERSAFE 2 KVA</v>
          </cell>
          <cell r="J125" t="str">
            <v xml:space="preserve"> 3926583298</v>
          </cell>
          <cell r="M125" t="e">
            <v>#N/A</v>
          </cell>
          <cell r="N125" t="e">
            <v>#N/A</v>
          </cell>
          <cell r="O125" t="e">
            <v>#N/A</v>
          </cell>
          <cell r="P125" t="str">
            <v>FORESTAL</v>
          </cell>
        </row>
        <row r="126">
          <cell r="B126">
            <v>10000581434</v>
          </cell>
          <cell r="C126" t="str">
            <v>FORMIN-SAN-ANTONIO-CAMPAMENTO</v>
          </cell>
          <cell r="D126" t="str">
            <v>CMPC-D-CEL-FORMIN-SAN-ANTONIO-CAMPAMENTO-UPS-10000581434</v>
          </cell>
          <cell r="E126" t="str">
            <v>10.234.179.70</v>
          </cell>
          <cell r="F126" t="str">
            <v>N/A</v>
          </cell>
          <cell r="G126" t="str">
            <v>UPS</v>
          </cell>
          <cell r="I126" t="str">
            <v>UPS ENERSAFE 2 KVA</v>
          </cell>
          <cell r="J126" t="str">
            <v xml:space="preserve"> 3926186099</v>
          </cell>
          <cell r="M126" t="str">
            <v>Jorge Acuña</v>
          </cell>
          <cell r="N126" t="str">
            <v>+56 9 6677 1429</v>
          </cell>
          <cell r="O126" t="str">
            <v>jorge.acuna@cmpc.cl</v>
          </cell>
          <cell r="P126" t="str">
            <v>FORESTAL</v>
          </cell>
        </row>
        <row r="127">
          <cell r="B127">
            <v>10000581437</v>
          </cell>
          <cell r="C127" t="str">
            <v>FORMIN-TEMUCO</v>
          </cell>
          <cell r="D127" t="str">
            <v>CMPC-D-CEL-FORMIN-TEMUCO-UPS-10000581437</v>
          </cell>
          <cell r="E127" t="str">
            <v>10.236.111.102</v>
          </cell>
          <cell r="F127" t="str">
            <v>N/A</v>
          </cell>
          <cell r="G127" t="str">
            <v>UPS</v>
          </cell>
          <cell r="I127" t="str">
            <v>UPS ENERSAFE 2 KVA</v>
          </cell>
          <cell r="J127" t="str">
            <v xml:space="preserve"> 3926185792</v>
          </cell>
          <cell r="M127" t="str">
            <v>Jorge Acuña</v>
          </cell>
          <cell r="N127" t="str">
            <v>+56 9 6677 1429</v>
          </cell>
          <cell r="O127" t="str">
            <v>jorge.acuna@cmpc.cl</v>
          </cell>
          <cell r="P127" t="str">
            <v>FORESTAL</v>
          </cell>
        </row>
        <row r="128">
          <cell r="B128">
            <v>10000569823</v>
          </cell>
          <cell r="C128" t="str">
            <v>FORSAC-CHILLAN</v>
          </cell>
          <cell r="D128" t="str">
            <v>CMPC-C-BIO-FORSAC-CHILLAN-UPS-10000569823</v>
          </cell>
          <cell r="E128" t="str">
            <v>10.223.1.38</v>
          </cell>
          <cell r="F128" t="str">
            <v>N/A</v>
          </cell>
          <cell r="G128" t="str">
            <v>UPS</v>
          </cell>
          <cell r="I128" t="str">
            <v>UPS ENERSAFE 2 KVA</v>
          </cell>
          <cell r="J128" t="str">
            <v xml:space="preserve"> 3926185692</v>
          </cell>
          <cell r="M128" t="str">
            <v>Wilfred Olivares</v>
          </cell>
          <cell r="N128" t="str">
            <v>+56 9 4450 5920</v>
          </cell>
          <cell r="O128" t="str">
            <v>wilfred.olivares@cmpc.cl</v>
          </cell>
          <cell r="P128" t="str">
            <v>SACK KRAFT</v>
          </cell>
        </row>
        <row r="129">
          <cell r="B129">
            <v>10000581483</v>
          </cell>
          <cell r="C129" t="str">
            <v>MADERAS-BUCALEMU</v>
          </cell>
          <cell r="D129" t="str">
            <v>CMPC-D-CEL-MADERAS-BUCALEMU-UPS-10000581483</v>
          </cell>
          <cell r="E129" t="str">
            <v>10.236.111.30</v>
          </cell>
          <cell r="F129" t="str">
            <v>N/A</v>
          </cell>
          <cell r="G129" t="str">
            <v>UPS</v>
          </cell>
          <cell r="I129" t="str">
            <v>UPS ENERSAFE 2 KVA</v>
          </cell>
          <cell r="J129" t="str">
            <v xml:space="preserve"> 3926185694</v>
          </cell>
          <cell r="M129" t="str">
            <v>Jorge Acuña</v>
          </cell>
          <cell r="N129" t="str">
            <v>+56 9 6677 1429</v>
          </cell>
          <cell r="O129" t="str">
            <v>jorge.acuna@cmpc.cl</v>
          </cell>
          <cell r="P129" t="str">
            <v>MADERAS</v>
          </cell>
        </row>
        <row r="130">
          <cell r="B130">
            <v>10000581459</v>
          </cell>
          <cell r="C130" t="str">
            <v>MADERAS-CORONEL</v>
          </cell>
          <cell r="D130" t="str">
            <v>CMPC-D-CEL-MADERAS-CORONEL-UPS-10000581459</v>
          </cell>
          <cell r="E130" t="str">
            <v>10.236.111.206</v>
          </cell>
          <cell r="F130" t="str">
            <v>N/A</v>
          </cell>
          <cell r="G130" t="str">
            <v>UPS</v>
          </cell>
          <cell r="I130" t="str">
            <v>UPS ENERSAFE 2 KVA</v>
          </cell>
          <cell r="J130" t="str">
            <v xml:space="preserve"> 3926185684</v>
          </cell>
          <cell r="M130" t="str">
            <v>Sergio Gallardo</v>
          </cell>
          <cell r="N130" t="str">
            <v>+56 9 4477 9921</v>
          </cell>
          <cell r="O130" t="str">
            <v>sergio.gallardor@cmpc.cl</v>
          </cell>
          <cell r="P130" t="str">
            <v>MADERAS</v>
          </cell>
        </row>
        <row r="131">
          <cell r="B131">
            <v>10000569562</v>
          </cell>
          <cell r="C131" t="str">
            <v>EDIFICIO-CORPORATIVO-LOS-ANGELES</v>
          </cell>
          <cell r="D131" t="str">
            <v>CMPC-B-CEL-MADERAS-LOS-ANGELES-ED-CORP-UPS-10000569562</v>
          </cell>
          <cell r="E131" t="str">
            <v>10.236.111.94</v>
          </cell>
          <cell r="F131" t="str">
            <v>N/A</v>
          </cell>
          <cell r="G131" t="str">
            <v>UPS</v>
          </cell>
          <cell r="I131" t="str">
            <v>UPS ENERSAFE 2 KVA</v>
          </cell>
          <cell r="J131" t="str">
            <v xml:space="preserve"> 	3926185583</v>
          </cell>
          <cell r="M131" t="str">
            <v>Alfredo Fuentes</v>
          </cell>
          <cell r="N131" t="str">
            <v>+56 9 332 18712</v>
          </cell>
          <cell r="O131" t="str">
            <v>jorge.acuna@cmpc.cl</v>
          </cell>
          <cell r="P131" t="str">
            <v>FORESTAL</v>
          </cell>
        </row>
        <row r="132">
          <cell r="B132">
            <v>10000581486</v>
          </cell>
          <cell r="C132" t="str">
            <v>MADERAS-MULCHEN</v>
          </cell>
          <cell r="D132" t="str">
            <v>CMPC-D-CEL-MADERAS-MULCHEN-UPS-10000581486</v>
          </cell>
          <cell r="E132" t="str">
            <v>10.236.111.214</v>
          </cell>
          <cell r="F132" t="str">
            <v>N/A</v>
          </cell>
          <cell r="G132" t="str">
            <v>UPS</v>
          </cell>
          <cell r="I132" t="str">
            <v>UPS ENERSAFE 2 KVA</v>
          </cell>
          <cell r="J132" t="str">
            <v xml:space="preserve"> 3926185517</v>
          </cell>
          <cell r="M132" t="str">
            <v>Jorge Acuña</v>
          </cell>
          <cell r="N132" t="str">
            <v>+56 9 6677 1429</v>
          </cell>
          <cell r="O132" t="str">
            <v>jorge.acuna@cmpc.cl</v>
          </cell>
          <cell r="P132" t="str">
            <v>MADERAS</v>
          </cell>
        </row>
        <row r="133">
          <cell r="B133">
            <v>10000569819</v>
          </cell>
          <cell r="C133" t="str">
            <v>MADERAS-PLANTA-CLEAR</v>
          </cell>
          <cell r="D133" t="str">
            <v>CMPC-C-CEL-MADERAS-PLANTA-CLEAR-UPS-10000569819</v>
          </cell>
          <cell r="E133" t="str">
            <v>10.234.179.78</v>
          </cell>
          <cell r="F133" t="str">
            <v>N/A</v>
          </cell>
          <cell r="G133" t="str">
            <v>UPS</v>
          </cell>
          <cell r="I133" t="str">
            <v>UPS ENERSAFE 2 KVA</v>
          </cell>
          <cell r="J133" t="str">
            <v xml:space="preserve"> 3926185839</v>
          </cell>
          <cell r="M133" t="str">
            <v>Jorge Acuña</v>
          </cell>
          <cell r="N133" t="str">
            <v>+56 9 6677 1429</v>
          </cell>
          <cell r="O133" t="str">
            <v>jorge.acuna@cmpc.cl</v>
          </cell>
          <cell r="P133" t="str">
            <v>MADERAS</v>
          </cell>
        </row>
        <row r="134">
          <cell r="B134">
            <v>10000569606</v>
          </cell>
          <cell r="C134" t="str">
            <v>MADERAS-PLYWOOD</v>
          </cell>
          <cell r="D134" t="str">
            <v>CMPC-C-CEL-MADERAS-PLYWOOD-UPS-10000569606</v>
          </cell>
          <cell r="E134" t="str">
            <v>10.223.0.166</v>
          </cell>
          <cell r="F134" t="str">
            <v>N/A</v>
          </cell>
          <cell r="G134" t="str">
            <v>UPS</v>
          </cell>
          <cell r="I134" t="str">
            <v>UPS ENERSAFE 2 KVA</v>
          </cell>
          <cell r="J134" t="str">
            <v xml:space="preserve"> 3926185610</v>
          </cell>
          <cell r="M134" t="str">
            <v>Sergio Gallardo</v>
          </cell>
          <cell r="N134" t="str">
            <v>+56 9 4477 9921</v>
          </cell>
          <cell r="O134" t="str">
            <v>sergio.gallardor@cmpc.cl</v>
          </cell>
          <cell r="P134" t="str">
            <v>MADERAS</v>
          </cell>
        </row>
        <row r="135">
          <cell r="B135">
            <v>10000581454</v>
          </cell>
          <cell r="C135" t="str">
            <v>FORMIN-PARQUE-ALESSANDRI</v>
          </cell>
          <cell r="D135" t="str">
            <v>CMPC-D-FUNDACION-FORMIN-P-ALESSANDRI-UPS-10000581454</v>
          </cell>
          <cell r="E135" t="str">
            <v>10.236.111.198</v>
          </cell>
          <cell r="F135" t="str">
            <v>N/A</v>
          </cell>
          <cell r="G135" t="str">
            <v>UPS</v>
          </cell>
          <cell r="I135" t="str">
            <v>UPS ENERSAFE 2 KVA</v>
          </cell>
          <cell r="J135" t="str">
            <v xml:space="preserve"> 3926185801	</v>
          </cell>
          <cell r="M135" t="str">
            <v>Eduardo Riquelme</v>
          </cell>
          <cell r="N135" t="str">
            <v>+56 9 9359 6295</v>
          </cell>
          <cell r="O135" t="str">
            <v>eduardo.riquelme@cmpc.cl</v>
          </cell>
          <cell r="P135" t="str">
            <v>FORESTAL</v>
          </cell>
        </row>
        <row r="136">
          <cell r="B136">
            <v>10000569587</v>
          </cell>
          <cell r="C136" t="str">
            <v>SOFTYS-TALAGANTE</v>
          </cell>
          <cell r="D136" t="str">
            <v>CMPC-C-SOFTYS-TALAGANTE-UPS-10000569587</v>
          </cell>
          <cell r="E136" t="str">
            <v>10.236.111.14</v>
          </cell>
          <cell r="F136" t="str">
            <v>N/A</v>
          </cell>
          <cell r="G136" t="str">
            <v>UPS</v>
          </cell>
          <cell r="I136" t="str">
            <v>UPS ENERSAFE 2 KVA</v>
          </cell>
          <cell r="J136" t="str">
            <v xml:space="preserve"> 3926185688</v>
          </cell>
          <cell r="M136" t="str">
            <v>Mayda Rivas</v>
          </cell>
          <cell r="N136" t="str">
            <v>+56 9 3461 1676</v>
          </cell>
          <cell r="O136" t="str">
            <v>mrivas@softys.cl</v>
          </cell>
          <cell r="P136" t="str">
            <v>SOFTYS</v>
          </cell>
        </row>
        <row r="137">
          <cell r="B137">
            <v>10000581382</v>
          </cell>
          <cell r="C137" t="str">
            <v>SOREPA-ANTOFAGASTA</v>
          </cell>
          <cell r="D137" t="str">
            <v>CMPC-D-BIO-SOREPA-ANTOFAGASTA-UPS-10000581382</v>
          </cell>
          <cell r="E137" t="str">
            <v>10.236.111.182</v>
          </cell>
          <cell r="F137" t="str">
            <v>N/A</v>
          </cell>
          <cell r="G137" t="str">
            <v>UPS</v>
          </cell>
          <cell r="I137" t="str">
            <v>UPS ENERSAFE 2 KVA</v>
          </cell>
          <cell r="J137" t="str">
            <v xml:space="preserve"> 3926185612</v>
          </cell>
          <cell r="M137" t="str">
            <v>Wilfred Olivares</v>
          </cell>
          <cell r="N137" t="str">
            <v>+56 9 4450 5920</v>
          </cell>
          <cell r="O137" t="str">
            <v>wilfred.olivares@cmpc.cl</v>
          </cell>
          <cell r="P137" t="str">
            <v>CORRUGADO</v>
          </cell>
        </row>
        <row r="138">
          <cell r="B138">
            <v>10000581649</v>
          </cell>
          <cell r="C138" t="str">
            <v>SOREPA-CHILLAN</v>
          </cell>
          <cell r="D138" t="str">
            <v>CMPC-D-BIO-SOREPA-CHILLAN-UPS-10000581649</v>
          </cell>
          <cell r="E138" t="str">
            <v>10.234.228.222</v>
          </cell>
          <cell r="F138" t="str">
            <v>N/A</v>
          </cell>
          <cell r="G138" t="str">
            <v>UPS</v>
          </cell>
          <cell r="I138" t="str">
            <v>UPS ENERSAFE 2 KVA</v>
          </cell>
          <cell r="J138" t="str">
            <v xml:space="preserve"> 3926185722</v>
          </cell>
          <cell r="M138" t="e">
            <v>#N/A</v>
          </cell>
          <cell r="N138" t="e">
            <v>#N/A</v>
          </cell>
          <cell r="O138" t="e">
            <v>#N/A</v>
          </cell>
          <cell r="P138" t="str">
            <v>CORRUGADO</v>
          </cell>
        </row>
        <row r="139">
          <cell r="B139">
            <v>10000581650</v>
          </cell>
          <cell r="C139" t="str">
            <v>SOREPA-CONCEPCION</v>
          </cell>
          <cell r="D139" t="str">
            <v>CMPC-D-BIO-SOREPA-CONCEPCION-UPS-10000581650</v>
          </cell>
          <cell r="E139" t="str">
            <v>10.236.111.126</v>
          </cell>
          <cell r="F139" t="str">
            <v>N/A</v>
          </cell>
          <cell r="G139" t="str">
            <v>UPS</v>
          </cell>
          <cell r="I139" t="str">
            <v>UPS ENERSAFE 2 KVA</v>
          </cell>
          <cell r="J139" t="str">
            <v xml:space="preserve"> 3926185775</v>
          </cell>
          <cell r="M139" t="str">
            <v>Wilfred Olivares</v>
          </cell>
          <cell r="N139" t="str">
            <v>+56 9 9299 7415</v>
          </cell>
          <cell r="O139" t="str">
            <v>wilfred.olivares@cmpc.cl</v>
          </cell>
          <cell r="P139" t="str">
            <v>CORRUGADO</v>
          </cell>
        </row>
        <row r="140">
          <cell r="B140">
            <v>10000581383</v>
          </cell>
          <cell r="C140" t="str">
            <v>SOREPA-COQUIMBO</v>
          </cell>
          <cell r="D140" t="str">
            <v>CMPC-D-BIO-SOREPA-COQUIMBO-UPS-10000581383</v>
          </cell>
          <cell r="E140" t="str">
            <v>10.234.179.214</v>
          </cell>
          <cell r="F140" t="str">
            <v>N/A</v>
          </cell>
          <cell r="G140" t="str">
            <v>UPS</v>
          </cell>
          <cell r="I140" t="str">
            <v>UPS ENERSAFE 2 KVA</v>
          </cell>
          <cell r="J140" t="str">
            <v xml:space="preserve"> 3926166590</v>
          </cell>
          <cell r="M140" t="str">
            <v>Wilfred Olivares</v>
          </cell>
          <cell r="N140" t="str">
            <v>+56 9 4450 5921</v>
          </cell>
          <cell r="O140" t="str">
            <v>wilfred.olivares@cmpc.cl</v>
          </cell>
          <cell r="P140" t="str">
            <v>CORRUGADO</v>
          </cell>
        </row>
        <row r="141">
          <cell r="B141">
            <v>10000579902</v>
          </cell>
          <cell r="C141" t="str">
            <v>SOREPA-PTOMONTT</v>
          </cell>
          <cell r="D141" t="str">
            <v>CMPC-D-BIO-SOREPA-PTOMONTT-UPS-10000579902</v>
          </cell>
          <cell r="E141" t="str">
            <v>10.234.179.22</v>
          </cell>
          <cell r="F141" t="str">
            <v>N/A</v>
          </cell>
          <cell r="G141" t="str">
            <v>UPS</v>
          </cell>
          <cell r="I141" t="str">
            <v>UPS ENERSAFE 2 KVA</v>
          </cell>
          <cell r="J141" t="str">
            <v xml:space="preserve"> 3926595183</v>
          </cell>
          <cell r="M141" t="e">
            <v>#N/A</v>
          </cell>
          <cell r="N141" t="e">
            <v>#N/A</v>
          </cell>
          <cell r="O141" t="e">
            <v>#N/A</v>
          </cell>
          <cell r="P141" t="str">
            <v>CORRUGADO</v>
          </cell>
        </row>
        <row r="142">
          <cell r="B142">
            <v>10000569584</v>
          </cell>
          <cell r="C142" t="str">
            <v>CMPC-D-BIO-SOREPA-PUDAHUEL</v>
          </cell>
          <cell r="D142" t="str">
            <v>CMPC-D-BIO-SOREPA-PUDAHUEL-UPS-10000569584</v>
          </cell>
          <cell r="E142" t="str">
            <v>10.223.1.54</v>
          </cell>
          <cell r="F142" t="str">
            <v>N/A</v>
          </cell>
          <cell r="G142" t="str">
            <v>UPS</v>
          </cell>
          <cell r="I142" t="str">
            <v>UPS ENERSAFE 2 KVA</v>
          </cell>
          <cell r="J142" t="str">
            <v xml:space="preserve"> 3926583342</v>
          </cell>
          <cell r="M142" t="str">
            <v>Wilfred Olivares</v>
          </cell>
          <cell r="N142" t="str">
            <v>+56 9 4450 5920</v>
          </cell>
          <cell r="O142" t="str">
            <v>wilfred.olivares@cmpc.cl</v>
          </cell>
          <cell r="P142" t="str">
            <v>CORRUGADO</v>
          </cell>
        </row>
        <row r="143">
          <cell r="B143">
            <v>10000581647</v>
          </cell>
          <cell r="C143" t="str">
            <v>SOREPA-RANCAGUA</v>
          </cell>
          <cell r="D143" t="str">
            <v>CMPC-D-BIO-SOREPA-RANCAGUA-UPS-10000581647</v>
          </cell>
          <cell r="E143" t="str">
            <v>10.236.111.142</v>
          </cell>
          <cell r="F143" t="str">
            <v>N/A</v>
          </cell>
          <cell r="G143" t="str">
            <v>UPS</v>
          </cell>
          <cell r="I143" t="str">
            <v>UPS ENERSAFE 2 KVA</v>
          </cell>
          <cell r="J143" t="str">
            <v xml:space="preserve"> 3926185799</v>
          </cell>
          <cell r="M143" t="str">
            <v>Wilfred Olivares</v>
          </cell>
          <cell r="N143" t="str">
            <v>+56 9 4450 5920</v>
          </cell>
          <cell r="O143" t="str">
            <v>wilfred.olivares@cmpc.cl</v>
          </cell>
          <cell r="P143" t="str">
            <v>CORRUGADO</v>
          </cell>
        </row>
        <row r="144">
          <cell r="B144">
            <v>10000581651</v>
          </cell>
          <cell r="C144" t="str">
            <v>SOREPA-SAN-JOAQUIN</v>
          </cell>
          <cell r="D144" t="str">
            <v>CMPC-D-BIO-SOREPA-SAN-JOAQUIN-UPS-10000581651</v>
          </cell>
          <cell r="E144" t="str">
            <v>10.223.1.62</v>
          </cell>
          <cell r="F144" t="str">
            <v>N/A</v>
          </cell>
          <cell r="G144" t="str">
            <v>UPS</v>
          </cell>
          <cell r="I144" t="str">
            <v>UPS ENERSAFE 2 KVA</v>
          </cell>
          <cell r="J144" t="str">
            <v xml:space="preserve"> 3926185701</v>
          </cell>
          <cell r="M144" t="str">
            <v>Wilfred Olivares</v>
          </cell>
          <cell r="N144" t="str">
            <v>+56 9 4450 5920</v>
          </cell>
          <cell r="O144" t="str">
            <v>wilfred.olivares@cmpc.cl</v>
          </cell>
          <cell r="P144" t="str">
            <v>CORRUGADO</v>
          </cell>
        </row>
        <row r="145">
          <cell r="B145">
            <v>10000581384</v>
          </cell>
          <cell r="C145" t="str">
            <v>SOREPA-TEMUCO</v>
          </cell>
          <cell r="D145" t="str">
            <v>CMPC-D-BIO-SOREPA-TEMUCO-UPS-10000581384</v>
          </cell>
          <cell r="E145" t="str">
            <v>10.236.111.118</v>
          </cell>
          <cell r="F145" t="str">
            <v>N/A</v>
          </cell>
          <cell r="G145" t="str">
            <v>UPS</v>
          </cell>
          <cell r="I145" t="str">
            <v>UPS ENERSAFE 2 KVA</v>
          </cell>
          <cell r="J145" t="str">
            <v xml:space="preserve"> 3926185574</v>
          </cell>
          <cell r="M145" t="str">
            <v>Wilfred Olivares</v>
          </cell>
          <cell r="N145" t="str">
            <v>+56 9 4450 5920</v>
          </cell>
          <cell r="O145" t="str">
            <v>wilfred.olivares@cmpc.cl</v>
          </cell>
          <cell r="P145" t="str">
            <v>CORRUGADO</v>
          </cell>
        </row>
        <row r="146">
          <cell r="B146">
            <v>10000583583</v>
          </cell>
          <cell r="C146" t="str">
            <v>TERCEROS-GENESYS</v>
          </cell>
          <cell r="D146" t="str">
            <v>CMPC-D-TERCEROS-GENESYS-UPS-10000583583</v>
          </cell>
          <cell r="E146" t="str">
            <v>10.236.111.78</v>
          </cell>
          <cell r="F146" t="str">
            <v>N/A</v>
          </cell>
          <cell r="G146" t="str">
            <v>UPS</v>
          </cell>
          <cell r="I146" t="str">
            <v>UPS ENERSAFE 2 KVA</v>
          </cell>
          <cell r="J146" t="str">
            <v xml:space="preserve"> 3926185818</v>
          </cell>
          <cell r="M146" t="str">
            <v>Jorge Acuña</v>
          </cell>
          <cell r="N146" t="str">
            <v>+56 9 6677 1429</v>
          </cell>
          <cell r="O146" t="str">
            <v>jorge.acuna@cmpc.cl</v>
          </cell>
          <cell r="P146" t="str">
            <v>PULP</v>
          </cell>
        </row>
        <row r="147">
          <cell r="B147">
            <v>10000583682</v>
          </cell>
          <cell r="C147" t="str">
            <v>TERCEROS-LM</v>
          </cell>
          <cell r="D147" t="str">
            <v>CMPC-D-BIO-TERCEROS-LM-UPS-10000583682</v>
          </cell>
          <cell r="E147" t="str">
            <v>10.236.111.38</v>
          </cell>
          <cell r="F147" t="str">
            <v>N/A</v>
          </cell>
          <cell r="G147" t="str">
            <v>UPS</v>
          </cell>
          <cell r="I147" t="str">
            <v>UPS ENERSAFE 2 KVA</v>
          </cell>
          <cell r="J147" t="str">
            <v>SIN ACCESO</v>
          </cell>
          <cell r="M147" t="str">
            <v xml:space="preserve">fransico </v>
          </cell>
          <cell r="N147">
            <v>56961707032</v>
          </cell>
          <cell r="O147" t="str">
            <v>claudio.munoz@cmpc.cl</v>
          </cell>
          <cell r="P147" t="str">
            <v>BOXBOARD</v>
          </cell>
        </row>
        <row r="148">
          <cell r="B148">
            <v>10000583588</v>
          </cell>
          <cell r="C148" t="str">
            <v>TERCEROS-SERFOVAL</v>
          </cell>
          <cell r="D148" t="str">
            <v>CMPC-D-TERCEROS-SERFOVAL-UPS-10000583588</v>
          </cell>
          <cell r="E148" t="str">
            <v>10.255.14.166</v>
          </cell>
          <cell r="F148" t="str">
            <v>N/A</v>
          </cell>
          <cell r="G148" t="str">
            <v>UPS</v>
          </cell>
          <cell r="I148" t="str">
            <v>UPS ENERSAFE 2 KVA</v>
          </cell>
          <cell r="J148" t="str">
            <v xml:space="preserve"> 3926186061</v>
          </cell>
          <cell r="M148" t="str">
            <v>Jorge Acuña</v>
          </cell>
          <cell r="N148" t="str">
            <v>+56 9 6677 1429</v>
          </cell>
          <cell r="O148" t="str">
            <v>jorge.acuna@cmpc.cl</v>
          </cell>
          <cell r="P148" t="str">
            <v>FORESTAL</v>
          </cell>
        </row>
        <row r="149">
          <cell r="B149">
            <v>10000581462</v>
          </cell>
          <cell r="C149" t="str">
            <v>MADERAS-PAILLIHUE-VIVERO-CDOUGLAS</v>
          </cell>
          <cell r="D149" t="str">
            <v>CMPC-D-CEL-MADERAS-PAILLIHUE-VIVERO-CDOUGLAS-UPS-10000581462</v>
          </cell>
          <cell r="E149" t="str">
            <v>10.236.111.246</v>
          </cell>
          <cell r="F149" t="str">
            <v>N/A</v>
          </cell>
          <cell r="G149" t="str">
            <v>UPS</v>
          </cell>
          <cell r="I149" t="str">
            <v>UPS ENERSAFE 2 KVA</v>
          </cell>
          <cell r="J149" t="str">
            <v xml:space="preserve"> 3926185834</v>
          </cell>
          <cell r="M149" t="str">
            <v>Jorge Acuña</v>
          </cell>
          <cell r="N149" t="str">
            <v>+56 9 6677 1430</v>
          </cell>
          <cell r="O149" t="str">
            <v>jorge.acuna@cmpc.cl</v>
          </cell>
          <cell r="P149" t="str">
            <v>MADERAS</v>
          </cell>
        </row>
        <row r="150">
          <cell r="B150">
            <v>10000389603</v>
          </cell>
          <cell r="C150" t="str">
            <v>EDIPAC-QUILICURA</v>
          </cell>
          <cell r="D150" t="str">
            <v>CMPC-C-BIO-EDIPAC-QUILICURA-CAE-CEN-10000389603</v>
          </cell>
          <cell r="E150" t="str">
            <v>10.234.136.110</v>
          </cell>
          <cell r="F150" t="str">
            <v>10.94.181.1</v>
          </cell>
          <cell r="G150" t="str">
            <v>ROUTER XG</v>
          </cell>
          <cell r="I150" t="str">
            <v>Huawei Technology Generic</v>
          </cell>
          <cell r="J150" t="str">
            <v>21500102142SGC900004</v>
          </cell>
          <cell r="K150" t="str">
            <v>XG</v>
          </cell>
          <cell r="L150" t="str">
            <v>8 Mbps</v>
          </cell>
          <cell r="M150" t="str">
            <v>Wilfred Olivares</v>
          </cell>
          <cell r="N150" t="str">
            <v>+56 9 4450 5918</v>
          </cell>
          <cell r="O150" t="str">
            <v>wilfred.olivares@cmpc.cl</v>
          </cell>
          <cell r="P150" t="str">
            <v>EDIPAC</v>
          </cell>
        </row>
        <row r="151">
          <cell r="B151">
            <v>10000389595</v>
          </cell>
          <cell r="C151" t="str">
            <v>ENVASES-ROBLE-ALTO-BUIN</v>
          </cell>
          <cell r="D151" t="str">
            <v>CMPC-D-BIO-ENVASES-ROBLE-ALTO-BUIN-CAE-CEN-T1-10000389595</v>
          </cell>
          <cell r="E151" t="str">
            <v>10.234.136.146</v>
          </cell>
          <cell r="F151" t="str">
            <v>10.94.211.1</v>
          </cell>
          <cell r="G151" t="str">
            <v>ROUTER XG</v>
          </cell>
          <cell r="I151" t="str">
            <v>Huawei Technology Generic</v>
          </cell>
          <cell r="J151" t="str">
            <v xml:space="preserve"> </v>
          </cell>
          <cell r="K151" t="str">
            <v>XG</v>
          </cell>
          <cell r="L151" t="str">
            <v>8 Mbps</v>
          </cell>
          <cell r="M151" t="str">
            <v>Nicolas Morales</v>
          </cell>
          <cell r="N151" t="str">
            <v>+56 9 3865 5496</v>
          </cell>
          <cell r="O151" t="str">
            <v>nicolas.morales@cmpc.cl</v>
          </cell>
          <cell r="P151" t="str">
            <v>CORRUGADO</v>
          </cell>
        </row>
        <row r="152">
          <cell r="B152">
            <v>10000389594</v>
          </cell>
          <cell r="C152" t="str">
            <v>ENVASES-ROBLE-ALTO-TIL-TIL</v>
          </cell>
          <cell r="D152" t="str">
            <v>CMPC-C-BIO-ENVASES-ROBLE-ALTO-TIL-TIL-CAE-CEN-10000389594</v>
          </cell>
          <cell r="E152" t="str">
            <v>10.234.136.138</v>
          </cell>
          <cell r="F152" t="str">
            <v>10.94.221.1</v>
          </cell>
          <cell r="G152" t="str">
            <v>ROUTER XG</v>
          </cell>
          <cell r="I152" t="str">
            <v>Huawei Technology Generic</v>
          </cell>
          <cell r="J152" t="str">
            <v>21500102142SH3900593</v>
          </cell>
          <cell r="K152" t="str">
            <v>XG</v>
          </cell>
          <cell r="L152" t="str">
            <v>8 Mbps</v>
          </cell>
          <cell r="M152" t="str">
            <v>Nicolas Morales</v>
          </cell>
          <cell r="N152" t="str">
            <v>+56 9 3865 5496</v>
          </cell>
          <cell r="O152" t="str">
            <v>nicolas.morales@cmpc.cl</v>
          </cell>
          <cell r="P152" t="str">
            <v>CORRUGADO</v>
          </cell>
        </row>
        <row r="153">
          <cell r="B153">
            <v>10000580032</v>
          </cell>
          <cell r="C153" t="str">
            <v>SOFTYS-LO-ECHEVERS</v>
          </cell>
          <cell r="D153" t="str">
            <v>CMPC-C-SOFTYS-LO-ECHEVERS-CAE-CEN-10000580032</v>
          </cell>
          <cell r="E153" t="str">
            <v>10.175.15.70</v>
          </cell>
          <cell r="F153" t="str">
            <v>10.94.251.254</v>
          </cell>
          <cell r="G153" t="str">
            <v>ROUTER XG</v>
          </cell>
          <cell r="I153" t="str">
            <v>Huawei Technology Generic</v>
          </cell>
          <cell r="J153" t="str">
            <v>21500102142SKA600440</v>
          </cell>
          <cell r="K153" t="str">
            <v>XG</v>
          </cell>
          <cell r="L153" t="str">
            <v>2 Mbps</v>
          </cell>
          <cell r="M153" t="str">
            <v>Mayda Rivas</v>
          </cell>
          <cell r="N153" t="str">
            <v>+56 9 3461 1674</v>
          </cell>
          <cell r="O153" t="str">
            <v>mrivas@softys.cl</v>
          </cell>
          <cell r="P153" t="str">
            <v>SOFTYS</v>
          </cell>
        </row>
        <row r="154">
          <cell r="B154">
            <v>10000135304</v>
          </cell>
          <cell r="C154" t="str">
            <v>SOFTYS-TALAGANTE</v>
          </cell>
          <cell r="D154" t="str">
            <v>CMPC_SOFTYS_TALAGANTE_CAE_CEN_10000135304</v>
          </cell>
          <cell r="E154" t="str">
            <v>10.200.24.129</v>
          </cell>
          <cell r="F154" t="str">
            <v>10.203.0.1</v>
          </cell>
          <cell r="G154" t="str">
            <v>ROUTER XG</v>
          </cell>
          <cell r="I154" t="str">
            <v>cisco881G7AK9</v>
          </cell>
          <cell r="J154" t="str">
            <v>FTX173780E1</v>
          </cell>
          <cell r="K154" t="str">
            <v>XG</v>
          </cell>
          <cell r="L154" t="str">
            <v>10 Mbps</v>
          </cell>
          <cell r="M154" t="str">
            <v>Marlon Perez</v>
          </cell>
          <cell r="N154" t="str">
            <v>+56 9 9411 2777</v>
          </cell>
          <cell r="O154" t="e">
            <v>#N/A</v>
          </cell>
          <cell r="P154" t="str">
            <v>SOFTYS</v>
          </cell>
        </row>
        <row r="155">
          <cell r="B155">
            <v>10000389600</v>
          </cell>
          <cell r="C155" t="str">
            <v>SOREPA-SAN-JOAQUIN</v>
          </cell>
          <cell r="D155" t="str">
            <v>CMPC-D-BIO-SOREPA-SAN-JOAQUIN-CAE-CEN-10000389600</v>
          </cell>
          <cell r="E155" t="str">
            <v>10.236.255.18</v>
          </cell>
          <cell r="F155" t="str">
            <v>10.94.191.1</v>
          </cell>
          <cell r="G155" t="str">
            <v>ROUTER XG</v>
          </cell>
          <cell r="I155" t="str">
            <v>Huawei Technology Generic</v>
          </cell>
          <cell r="J155" t="str">
            <v>21500102142SH3900477</v>
          </cell>
          <cell r="K155" t="str">
            <v>XG</v>
          </cell>
          <cell r="L155" t="str">
            <v>8 Mbps</v>
          </cell>
          <cell r="M155" t="e">
            <v>#N/A</v>
          </cell>
          <cell r="N155" t="e">
            <v>#N/A</v>
          </cell>
          <cell r="O155" t="e">
            <v>#N/A</v>
          </cell>
          <cell r="P155" t="str">
            <v>CORRUGADO</v>
          </cell>
        </row>
        <row r="156">
          <cell r="B156">
            <v>10000606176</v>
          </cell>
          <cell r="C156" t="str">
            <v>MADERAS-PAILLIHUE-VIVERO-CDOUGLAS</v>
          </cell>
          <cell r="D156" t="str">
            <v>CMPC-D-CEL-MADERAS-PAILLIHUE-VIVERO-CDOUGLAS-CAE-CEN-10000606176</v>
          </cell>
          <cell r="E156" t="str">
            <v xml:space="preserve">10.192.31.126  </v>
          </cell>
          <cell r="F156" t="str">
            <v>10.94.252.254</v>
          </cell>
          <cell r="G156" t="str">
            <v>ROUTER XG</v>
          </cell>
          <cell r="I156" t="str">
            <v>Huawei Technology Generic</v>
          </cell>
          <cell r="J156" t="str">
            <v>21500104982SL4600001</v>
          </cell>
          <cell r="K156" t="str">
            <v>XG</v>
          </cell>
          <cell r="L156" t="str">
            <v>10 Mbps</v>
          </cell>
          <cell r="M156" t="str">
            <v>Jorge Acuña</v>
          </cell>
          <cell r="N156" t="str">
            <v>+56 9 6677 1429</v>
          </cell>
          <cell r="O156" t="str">
            <v>jorge.acuna@cmpc.cl</v>
          </cell>
          <cell r="P156" t="str">
            <v>MADERAS</v>
          </cell>
        </row>
        <row r="157">
          <cell r="B157">
            <v>10000528062</v>
          </cell>
          <cell r="C157" t="str">
            <v>SOFTYS</v>
          </cell>
          <cell r="D157" t="str">
            <v>CMPC-D-SOFTYS-BODEGAS-LA-FARFANA-PRIN-10000528062-RESP-GTD</v>
          </cell>
          <cell r="E157" t="str">
            <v>10.236.29.178</v>
          </cell>
          <cell r="F157" t="str">
            <v>10.28.2.242</v>
          </cell>
          <cell r="G157" t="str">
            <v>Z-RETIRADO</v>
          </cell>
          <cell r="H157" t="str">
            <v>GTD</v>
          </cell>
          <cell r="I157" t="str">
            <v>CiscoC1111-4P</v>
          </cell>
          <cell r="J157" t="str">
            <v>FGL2602L6XM</v>
          </cell>
          <cell r="K157" t="str">
            <v>down</v>
          </cell>
          <cell r="L157" t="str">
            <v>down</v>
          </cell>
          <cell r="M157" t="str">
            <v>Mayda Rivas</v>
          </cell>
          <cell r="N157" t="str">
            <v>+56 9 3461 1675</v>
          </cell>
          <cell r="O157" t="str">
            <v>mrivas@softys.cl</v>
          </cell>
          <cell r="P157" t="str">
            <v>SOFTYS</v>
          </cell>
        </row>
        <row r="158">
          <cell r="B158">
            <v>10000581416</v>
          </cell>
          <cell r="C158" t="str">
            <v>SOFTYS</v>
          </cell>
          <cell r="D158" t="str">
            <v>CMPC-SOFTYS-LA-FARFANA-BODEGA-UPS-T2-10000581416</v>
          </cell>
          <cell r="E158" t="str">
            <v>10.236.111.54</v>
          </cell>
          <cell r="F158" t="str">
            <v>N/A</v>
          </cell>
          <cell r="G158" t="str">
            <v>Z-RETIRADO</v>
          </cell>
          <cell r="I158" t="str">
            <v>UPS ENERSAFE 2 KVA</v>
          </cell>
          <cell r="J158" t="str">
            <v xml:space="preserve"> </v>
          </cell>
          <cell r="M158" t="str">
            <v>Mayda Rivas</v>
          </cell>
          <cell r="N158" t="str">
            <v>+56 9 3461 1676</v>
          </cell>
          <cell r="O158" t="str">
            <v>mrivas@softys.cl</v>
          </cell>
          <cell r="P158" t="str">
            <v>SOFTYS</v>
          </cell>
        </row>
        <row r="159">
          <cell r="B159">
            <v>10000379565</v>
          </cell>
          <cell r="C159" t="str">
            <v>CMPC-C-BIO-CHIMOLSA-PTE-ALTO</v>
          </cell>
          <cell r="D159" t="str">
            <v>CMPC-CHIMOLSA-PTEALTO-RESP-T1-10000379565</v>
          </cell>
          <cell r="E159" t="str">
            <v>10.234.125.178</v>
          </cell>
          <cell r="F159" t="str">
            <v>10.25.7.246</v>
          </cell>
          <cell r="G159" t="str">
            <v>Z-RETIRADO</v>
          </cell>
          <cell r="I159" t="str">
            <v>cisco2901</v>
          </cell>
          <cell r="J159" t="str">
            <v>FJC2141D0XZ</v>
          </cell>
          <cell r="K159" t="e">
            <v>#N/A</v>
          </cell>
          <cell r="L159" t="e">
            <v>#N/A</v>
          </cell>
          <cell r="M159" t="str">
            <v>Nicolas Morales</v>
          </cell>
          <cell r="N159" t="str">
            <v>+56 9 3865 5497</v>
          </cell>
          <cell r="O159" t="str">
            <v>nicolas.morales@cmpc.cl</v>
          </cell>
          <cell r="P159" t="str">
            <v>CORRUGADO</v>
          </cell>
        </row>
        <row r="160">
          <cell r="B160">
            <v>10000165522</v>
          </cell>
          <cell r="C160" t="str">
            <v>CMPC-PAPELES-EIRA-OSORNO</v>
          </cell>
          <cell r="D160" t="str">
            <v>CMPC-PAPELES-EIRA-OSORNO-RESP-T3-10000165522</v>
          </cell>
          <cell r="E160" t="str">
            <v>10.252.52.135</v>
          </cell>
          <cell r="F160">
            <v>10234124245</v>
          </cell>
          <cell r="G160" t="str">
            <v>Z-RETIRADO</v>
          </cell>
          <cell r="I160" t="str">
            <v>cisco2901</v>
          </cell>
          <cell r="J160" t="str">
            <v>FJC2042A09S</v>
          </cell>
          <cell r="K160" t="e">
            <v>#N/A</v>
          </cell>
          <cell r="L160" t="e">
            <v>#N/A</v>
          </cell>
          <cell r="M160" t="str">
            <v>Nicolas Morales</v>
          </cell>
          <cell r="N160" t="str">
            <v>+56 9 3865 5483</v>
          </cell>
          <cell r="O160" t="str">
            <v>nicolas.morales@cmpc.cl</v>
          </cell>
          <cell r="P160" t="str">
            <v>CORRUGADO</v>
          </cell>
        </row>
        <row r="161">
          <cell r="B161">
            <v>10000322646</v>
          </cell>
          <cell r="C161" t="str">
            <v>CMPC-MADERAS-MULCHEN-EST-AMBIENTAL</v>
          </cell>
          <cell r="D161" t="str">
            <v>CMPC-MADERAS-MULCHEN-EST-AMBIENTAL-3G-T3-10000322646</v>
          </cell>
          <cell r="E161" t="str">
            <v>10.200.24.153</v>
          </cell>
          <cell r="F161" t="str">
            <v>10.95.2.1</v>
          </cell>
          <cell r="G161" t="str">
            <v>Z-RETIRADO</v>
          </cell>
          <cell r="I161" t="str">
            <v>cisco881G7AK9</v>
          </cell>
          <cell r="J161" t="str">
            <v>FJC1946E3U9</v>
          </cell>
          <cell r="K161" t="e">
            <v>#N/A</v>
          </cell>
          <cell r="L161" t="e">
            <v>#N/A</v>
          </cell>
          <cell r="M161" t="e">
            <v>#N/A</v>
          </cell>
          <cell r="N161" t="e">
            <v>#N/A</v>
          </cell>
          <cell r="O161" t="e">
            <v>#N/A</v>
          </cell>
          <cell r="P161" t="str">
            <v>MADERAS</v>
          </cell>
        </row>
        <row r="162">
          <cell r="B162">
            <v>10000583605</v>
          </cell>
          <cell r="C162" t="str">
            <v>CMPC-MADERAS-VILLA-PINARES</v>
          </cell>
          <cell r="D162" t="str">
            <v>CMPC-MADERAS-VILLA-PINARES-UPS-T3-10000583605</v>
          </cell>
          <cell r="E162" t="str">
            <v>10.255.29.110</v>
          </cell>
          <cell r="F162" t="str">
            <v>N/A</v>
          </cell>
          <cell r="G162" t="str">
            <v>Z-RETIRADO</v>
          </cell>
          <cell r="I162" t="str">
            <v>UPS ENERSAFE 2 KVA</v>
          </cell>
          <cell r="J162" t="str">
            <v xml:space="preserve"> </v>
          </cell>
          <cell r="M162" t="e">
            <v>#N/A</v>
          </cell>
          <cell r="N162" t="e">
            <v>#N/A</v>
          </cell>
          <cell r="O162" t="e">
            <v>#N/A</v>
          </cell>
          <cell r="P162" t="str">
            <v>FORESTAL</v>
          </cell>
        </row>
        <row r="163">
          <cell r="B163">
            <v>10000318998</v>
          </cell>
          <cell r="C163" t="str">
            <v>CMPC-PORTUARIA-CENTRAL-LIRQUEN</v>
          </cell>
          <cell r="D163" t="str">
            <v>CMPC-PORTUARIA-CENTRAL-LIRQUEN-RESP-3G-T2-10000318998</v>
          </cell>
          <cell r="E163" t="str">
            <v>10.200.24.146</v>
          </cell>
          <cell r="F163" t="e">
            <v>#N/A</v>
          </cell>
          <cell r="G163" t="str">
            <v>Z-RETIRADO</v>
          </cell>
          <cell r="I163" t="str">
            <v>&lt;No SNMP&gt;</v>
          </cell>
          <cell r="J163" t="e">
            <v>#N/A</v>
          </cell>
          <cell r="K163" t="e">
            <v>#N/A</v>
          </cell>
          <cell r="L163" t="e">
            <v>#N/A</v>
          </cell>
          <cell r="M163" t="str">
            <v>Enrique Carvajal</v>
          </cell>
          <cell r="N163" t="str">
            <v>+56 9 4450 5922</v>
          </cell>
          <cell r="O163" t="str">
            <v>enrique.carvajal@cmpc.cl</v>
          </cell>
          <cell r="P163" t="str">
            <v>CELULOSA</v>
          </cell>
        </row>
        <row r="164">
          <cell r="B164">
            <v>7810500001</v>
          </cell>
          <cell r="C164" t="str">
            <v>CMPC-PORTUARIA-CORONEL</v>
          </cell>
          <cell r="D164" t="str">
            <v>CMPC-PORTUARIA-CORONEL-PRIN-T2-7810500001</v>
          </cell>
          <cell r="E164" t="str">
            <v>10.255.212.179</v>
          </cell>
          <cell r="F164" t="str">
            <v>10.35.3.253</v>
          </cell>
          <cell r="G164" t="str">
            <v>Z-RETIRADO</v>
          </cell>
          <cell r="I164" t="str">
            <v>cisco2901</v>
          </cell>
          <cell r="J164" t="str">
            <v>FJC1903A1W3</v>
          </cell>
          <cell r="K164" t="e">
            <v>#N/A</v>
          </cell>
          <cell r="L164" t="e">
            <v>#N/A</v>
          </cell>
          <cell r="M164" t="e">
            <v>#N/A</v>
          </cell>
          <cell r="N164" t="e">
            <v>#N/A</v>
          </cell>
          <cell r="O164" t="e">
            <v>#N/A</v>
          </cell>
          <cell r="P164" t="str">
            <v>CELULOSA</v>
          </cell>
        </row>
        <row r="165">
          <cell r="B165">
            <v>10000319001</v>
          </cell>
          <cell r="C165" t="str">
            <v>CMPC-PORTUARIA-CORONEL</v>
          </cell>
          <cell r="D165" t="str">
            <v>CMPC-PORTUARIA-CORONEL-RESP-3G-T2-10000319001</v>
          </cell>
          <cell r="E165" t="str">
            <v>10.236.255.14</v>
          </cell>
          <cell r="F165" t="str">
            <v>10.35.3.252</v>
          </cell>
          <cell r="G165" t="str">
            <v>Z-RETIRADO</v>
          </cell>
          <cell r="I165" t="str">
            <v>cisco881G7AK9</v>
          </cell>
          <cell r="J165" t="str">
            <v>FJC1946E3KK</v>
          </cell>
          <cell r="K165" t="e">
            <v>#N/A</v>
          </cell>
          <cell r="L165" t="e">
            <v>#N/A</v>
          </cell>
          <cell r="M165" t="e">
            <v>#N/A</v>
          </cell>
          <cell r="N165" t="e">
            <v>#N/A</v>
          </cell>
          <cell r="O165" t="e">
            <v>#N/A</v>
          </cell>
          <cell r="P165" t="str">
            <v>CELULOSA</v>
          </cell>
        </row>
        <row r="166">
          <cell r="B166">
            <v>10000318999</v>
          </cell>
          <cell r="C166" t="str">
            <v>CMPC-D-CEL-PORTUARIA-SAN-VICENTE</v>
          </cell>
          <cell r="D166" t="str">
            <v>CMPC-D-CEL-PORTUARIA-SAN-VICENTE-RESP-3G-T2-10000318999</v>
          </cell>
          <cell r="E166" t="str">
            <v>10.236.255.13</v>
          </cell>
          <cell r="F166" t="str">
            <v>10.35.4.11</v>
          </cell>
          <cell r="G166" t="str">
            <v>Z-RETIRADO</v>
          </cell>
          <cell r="I166" t="str">
            <v>cisco881G7AK9</v>
          </cell>
          <cell r="J166" t="str">
            <v>FJC1946E3U6</v>
          </cell>
          <cell r="K166" t="e">
            <v>#N/A</v>
          </cell>
          <cell r="L166" t="e">
            <v>#N/A</v>
          </cell>
          <cell r="M166" t="str">
            <v>Enrique Carvajal</v>
          </cell>
          <cell r="N166" t="str">
            <v>+56 9 4450 5922</v>
          </cell>
          <cell r="O166" t="str">
            <v>enrique.carvajal@cmpc.cl</v>
          </cell>
          <cell r="P166" t="str">
            <v>CELULOSA</v>
          </cell>
        </row>
        <row r="167">
          <cell r="B167">
            <v>10000006824</v>
          </cell>
          <cell r="C167" t="str">
            <v>SOFTYS</v>
          </cell>
          <cell r="D167" t="str">
            <v>CMPC-C-SOFTYS-PTE-ALTO-PRIN-10000006824-RESP-GTD</v>
          </cell>
          <cell r="E167" t="str">
            <v>10.221.19.38</v>
          </cell>
          <cell r="F167" t="str">
            <v>10.34.255.2</v>
          </cell>
          <cell r="G167" t="str">
            <v>Z-RETIRADO</v>
          </cell>
          <cell r="H167" t="str">
            <v>GTD</v>
          </cell>
          <cell r="I167" t="str">
            <v>ciscoISR4351</v>
          </cell>
          <cell r="J167" t="str">
            <v>FLM2502103X</v>
          </cell>
          <cell r="K167" t="str">
            <v>Fibra optica</v>
          </cell>
          <cell r="L167" t="str">
            <v>200 Mbps</v>
          </cell>
          <cell r="M167" t="str">
            <v>Mayda Rivas</v>
          </cell>
          <cell r="N167" t="str">
            <v>+56 9 3461 1675</v>
          </cell>
          <cell r="O167" t="str">
            <v>mrivas@softys.cl</v>
          </cell>
          <cell r="P167" t="str">
            <v>SOFTYS</v>
          </cell>
        </row>
        <row r="168">
          <cell r="B168">
            <v>10000569588</v>
          </cell>
          <cell r="C168" t="str">
            <v>SOFTYS</v>
          </cell>
          <cell r="D168" t="str">
            <v>CMPC-C-SOFTYS-PTE-ALTO-UPS-10000569588</v>
          </cell>
          <cell r="E168" t="str">
            <v>10.223.1.46</v>
          </cell>
          <cell r="F168" t="str">
            <v>N/A</v>
          </cell>
          <cell r="G168" t="str">
            <v>Z-RETIRADO</v>
          </cell>
          <cell r="I168" t="str">
            <v>UPS ENERSAFE 2 KVA</v>
          </cell>
          <cell r="J168" t="str">
            <v xml:space="preserve"> </v>
          </cell>
          <cell r="M168" t="str">
            <v>Mayda Rivas</v>
          </cell>
          <cell r="N168" t="str">
            <v>+56 9 3461 1676</v>
          </cell>
          <cell r="O168" t="str">
            <v>mrivas@softys.cl</v>
          </cell>
          <cell r="P168" t="str">
            <v>SOFTYS</v>
          </cell>
        </row>
        <row r="169">
          <cell r="B169">
            <v>10000457638</v>
          </cell>
          <cell r="C169" t="str">
            <v>SOFTYS</v>
          </cell>
          <cell r="D169" t="str">
            <v>CMPC-C-SOFTYS-LO-ECHEVERS-CD-PRIN-10000457638</v>
          </cell>
          <cell r="E169" t="str">
            <v>10.235.254.138</v>
          </cell>
          <cell r="F169" t="str">
            <v>10.26.23.1</v>
          </cell>
          <cell r="G169" t="str">
            <v>Z-RETIRADO</v>
          </cell>
          <cell r="I169" t="str">
            <v>ciscoISR4351</v>
          </cell>
          <cell r="J169" t="str">
            <v>FLM2502104D</v>
          </cell>
          <cell r="K169" t="str">
            <v>Fibra optica</v>
          </cell>
          <cell r="L169" t="str">
            <v>200 Mbps</v>
          </cell>
          <cell r="M169" t="str">
            <v>Mayda Rivas</v>
          </cell>
          <cell r="N169" t="str">
            <v>+56 9 3461 1675</v>
          </cell>
          <cell r="O169" t="str">
            <v>mrivas@softys.cl</v>
          </cell>
          <cell r="P169" t="str">
            <v>SOFTYS</v>
          </cell>
        </row>
        <row r="170">
          <cell r="B170">
            <v>10000457640</v>
          </cell>
          <cell r="C170" t="str">
            <v>SOFTYS</v>
          </cell>
          <cell r="D170" t="str">
            <v>CMPC-C-SOFTYS-LO-ECHEVERS-ED-AD-RESP-10000457640</v>
          </cell>
          <cell r="E170" t="str">
            <v>10.235.254.94</v>
          </cell>
          <cell r="F170" t="str">
            <v>10.26.255.1</v>
          </cell>
          <cell r="G170" t="str">
            <v>Z-RETIRADO</v>
          </cell>
          <cell r="I170" t="str">
            <v>ciscoISR4351</v>
          </cell>
          <cell r="J170" t="str">
            <v>FLM25021047</v>
          </cell>
          <cell r="K170" t="str">
            <v>Fibra optica</v>
          </cell>
          <cell r="L170" t="str">
            <v>200 Mbps</v>
          </cell>
          <cell r="M170" t="str">
            <v>Mayda Rivas</v>
          </cell>
          <cell r="N170" t="str">
            <v>+56 9 3461 1675</v>
          </cell>
          <cell r="O170" t="str">
            <v>mrivas@softys.cl</v>
          </cell>
          <cell r="P170" t="str">
            <v>SOFTYS</v>
          </cell>
        </row>
        <row r="171">
          <cell r="B171">
            <v>10000318989</v>
          </cell>
          <cell r="C171" t="str">
            <v>CMPC-D-BIO-SOREPA-CHILLAN</v>
          </cell>
          <cell r="D171" t="str">
            <v>CMPC-SOREPA-CHILLAN-RESP-3G-T2-10000318989</v>
          </cell>
          <cell r="E171" t="str">
            <v>10.236.255.9</v>
          </cell>
          <cell r="F171" t="str">
            <v>10.1.38.254</v>
          </cell>
          <cell r="G171" t="str">
            <v>Z-RETIRADO</v>
          </cell>
          <cell r="I171" t="str">
            <v>cisco881G7AK9</v>
          </cell>
          <cell r="J171" t="str">
            <v>FJC1944E1B5</v>
          </cell>
          <cell r="K171" t="e">
            <v>#N/A</v>
          </cell>
          <cell r="L171" t="e">
            <v>#N/A</v>
          </cell>
          <cell r="M171" t="e">
            <v>#N/A</v>
          </cell>
          <cell r="N171" t="e">
            <v>#N/A</v>
          </cell>
          <cell r="O171" t="e">
            <v>#N/A</v>
          </cell>
          <cell r="P171" t="str">
            <v>CORRUGADO</v>
          </cell>
        </row>
        <row r="172">
          <cell r="B172">
            <v>10000318987</v>
          </cell>
          <cell r="C172" t="str">
            <v>CMPC-SOREPA-CONCEPCION</v>
          </cell>
          <cell r="D172" t="str">
            <v>CMPC-SOREPA-CONCEPCION-RESP-3G-T2-10000318987</v>
          </cell>
          <cell r="E172" t="str">
            <v>10.236.255.7</v>
          </cell>
          <cell r="F172" t="str">
            <v>10.1.32.3</v>
          </cell>
          <cell r="G172" t="str">
            <v>Z-RETIRADO</v>
          </cell>
          <cell r="I172" t="str">
            <v>cisco881G7AK9</v>
          </cell>
          <cell r="J172" t="str">
            <v>FJC1946E3KQ</v>
          </cell>
          <cell r="K172" t="e">
            <v>#N/A</v>
          </cell>
          <cell r="L172" t="e">
            <v>#N/A</v>
          </cell>
          <cell r="M172" t="e">
            <v>#N/A</v>
          </cell>
          <cell r="N172" t="e">
            <v>#N/A</v>
          </cell>
          <cell r="O172" t="e">
            <v>#N/A</v>
          </cell>
          <cell r="P172" t="str">
            <v>CORRUGADO</v>
          </cell>
        </row>
        <row r="173">
          <cell r="B173">
            <v>10000318996</v>
          </cell>
          <cell r="C173" t="str">
            <v>CMPC-D-BIO-SOREPA-COQUIMBO</v>
          </cell>
          <cell r="D173" t="str">
            <v>CMPC-SOREPA-COQUIMBO-RESP-3G-T2-10000318996</v>
          </cell>
          <cell r="E173" t="str">
            <v>10.236.255.6</v>
          </cell>
          <cell r="F173" t="str">
            <v>10.1.26.253</v>
          </cell>
          <cell r="G173" t="str">
            <v>Z-RETIRADO</v>
          </cell>
          <cell r="I173" t="str">
            <v>cisco881G7AK9</v>
          </cell>
          <cell r="J173" t="str">
            <v>FJC1943E2EY</v>
          </cell>
          <cell r="K173" t="e">
            <v>#N/A</v>
          </cell>
          <cell r="L173" t="e">
            <v>#N/A</v>
          </cell>
          <cell r="M173" t="str">
            <v>Wilfred Olivares</v>
          </cell>
          <cell r="N173" t="str">
            <v>+56 9 4450 5920</v>
          </cell>
          <cell r="O173" t="str">
            <v>wilfred.olivares@cmpc.cl</v>
          </cell>
          <cell r="P173" t="str">
            <v>CORRUGADO</v>
          </cell>
        </row>
        <row r="174">
          <cell r="B174">
            <v>10000318995</v>
          </cell>
          <cell r="C174" t="str">
            <v>CMPC-SOREPA-PUDAHUEL</v>
          </cell>
          <cell r="D174" t="str">
            <v>CMPC-SOREPA-PUDAHUEL-RESP-3G-T2-10000318995</v>
          </cell>
          <cell r="E174" t="str">
            <v>10.236.255.4</v>
          </cell>
          <cell r="F174" t="str">
            <v>10.1.16.253</v>
          </cell>
          <cell r="G174" t="str">
            <v>Z-RETIRADO</v>
          </cell>
          <cell r="I174" t="str">
            <v>cisco881G7AK9</v>
          </cell>
          <cell r="J174" t="str">
            <v>FJC1946E3KG</v>
          </cell>
          <cell r="K174" t="e">
            <v>#N/A</v>
          </cell>
          <cell r="L174" t="e">
            <v>#N/A</v>
          </cell>
          <cell r="M174" t="e">
            <v>#N/A</v>
          </cell>
          <cell r="N174" t="e">
            <v>#N/A</v>
          </cell>
          <cell r="O174" t="e">
            <v>#N/A</v>
          </cell>
          <cell r="P174" t="str">
            <v>CORRUGADO</v>
          </cell>
        </row>
        <row r="175">
          <cell r="B175">
            <v>10000318990</v>
          </cell>
          <cell r="C175" t="str">
            <v>CMPC-SOREPA-TALCA</v>
          </cell>
          <cell r="D175" t="str">
            <v>CMPC-SOREPA-TALCA-RESP-3G-T2-10000318990</v>
          </cell>
          <cell r="E175" t="str">
            <v>10.236.255.3</v>
          </cell>
          <cell r="F175" t="str">
            <v>10.1.33.253</v>
          </cell>
          <cell r="G175" t="str">
            <v>Z-RETIRADO</v>
          </cell>
          <cell r="I175" t="str">
            <v>cisco881G7AK9</v>
          </cell>
          <cell r="J175" t="str">
            <v>FJC1946E3KR</v>
          </cell>
          <cell r="K175" t="e">
            <v>#N/A</v>
          </cell>
          <cell r="L175" t="e">
            <v>#N/A</v>
          </cell>
          <cell r="M175" t="e">
            <v>#N/A</v>
          </cell>
          <cell r="N175" t="e">
            <v>#N/A</v>
          </cell>
          <cell r="O175" t="e">
            <v>#N/A</v>
          </cell>
          <cell r="P175" t="str">
            <v>CORRUGADO</v>
          </cell>
        </row>
        <row r="176">
          <cell r="B176">
            <v>10000581648</v>
          </cell>
          <cell r="C176" t="str">
            <v>CMPC-SOREPA-TALCA</v>
          </cell>
          <cell r="D176" t="str">
            <v>CMPC-SOREPA-TALCA-UPS-T2-10000581648</v>
          </cell>
          <cell r="E176" t="str">
            <v>10.236.111.70</v>
          </cell>
          <cell r="F176" t="str">
            <v>N/A</v>
          </cell>
          <cell r="G176" t="str">
            <v>Z-RETIRADO</v>
          </cell>
          <cell r="I176" t="str">
            <v>UPS ENERSAFE 2 KVA</v>
          </cell>
          <cell r="J176" t="str">
            <v xml:space="preserve"> </v>
          </cell>
          <cell r="M176" t="e">
            <v>#N/A</v>
          </cell>
          <cell r="N176" t="e">
            <v>#N/A</v>
          </cell>
          <cell r="O176" t="e">
            <v>#N/A</v>
          </cell>
          <cell r="P176" t="str">
            <v>CORRUGADO</v>
          </cell>
        </row>
        <row r="177">
          <cell r="B177">
            <v>10000318994</v>
          </cell>
          <cell r="C177" t="str">
            <v>CMPC-SOREPA-TEMUCO</v>
          </cell>
          <cell r="D177" t="str">
            <v>CMPC-SOREPA-TEMUCO-RESP-3G-T2-10000318994</v>
          </cell>
          <cell r="E177" t="str">
            <v>10.236.255.2</v>
          </cell>
          <cell r="F177" t="str">
            <v>10.1.34.254</v>
          </cell>
          <cell r="G177" t="str">
            <v>Z-RETIRADO</v>
          </cell>
          <cell r="I177" t="str">
            <v>cisco881G7AK9</v>
          </cell>
          <cell r="J177" t="str">
            <v>FJC1946E3KC</v>
          </cell>
          <cell r="K177" t="e">
            <v>#N/A</v>
          </cell>
          <cell r="L177" t="e">
            <v>#N/A</v>
          </cell>
          <cell r="M177" t="e">
            <v>#N/A</v>
          </cell>
          <cell r="N177" t="e">
            <v>#N/A</v>
          </cell>
          <cell r="O177" t="e">
            <v>#N/A</v>
          </cell>
          <cell r="P177" t="str">
            <v>CORRUGADO</v>
          </cell>
        </row>
        <row r="178">
          <cell r="B178">
            <v>6999090001</v>
          </cell>
          <cell r="C178" t="str">
            <v>CMPC-D-BIO-SOREPA-VINA</v>
          </cell>
          <cell r="D178" t="str">
            <v>CMPC-D-BIO-SOREPA-VINA-PRIN-6999090001-RESP-GTD</v>
          </cell>
          <cell r="E178" t="str">
            <v>10.220.168.126</v>
          </cell>
          <cell r="G178" t="str">
            <v>Z-RETIRADO</v>
          </cell>
          <cell r="H178" t="str">
            <v>GTD</v>
          </cell>
          <cell r="I178" t="str">
            <v>CiscoC1111-4P</v>
          </cell>
          <cell r="J178" t="str">
            <v>FGL2509LDQL</v>
          </cell>
          <cell r="K178" t="str">
            <v>Down</v>
          </cell>
          <cell r="L178" t="str">
            <v>Down</v>
          </cell>
          <cell r="M178" t="str">
            <v>Wilfred Olivares</v>
          </cell>
          <cell r="N178" t="str">
            <v>+56 9 4450 5919</v>
          </cell>
          <cell r="O178" t="str">
            <v>wilfred.olivares@cmpc.cl</v>
          </cell>
          <cell r="P178" t="str">
            <v>CORRUGADO</v>
          </cell>
        </row>
        <row r="179">
          <cell r="B179">
            <v>10000581385</v>
          </cell>
          <cell r="C179" t="str">
            <v>CMPC-D-BIO-SOREPA-VINA</v>
          </cell>
          <cell r="D179" t="str">
            <v>CMPC-D-BIO-SOREPA-VINA-UPS-10000581385</v>
          </cell>
          <cell r="E179" t="str">
            <v>10.236.111.150</v>
          </cell>
          <cell r="F179" t="str">
            <v>N/A</v>
          </cell>
          <cell r="G179" t="str">
            <v>Z-RETIRADO</v>
          </cell>
          <cell r="I179" t="str">
            <v>UPS ENERSAFE 2 KVA</v>
          </cell>
          <cell r="J179" t="str">
            <v xml:space="preserve"> </v>
          </cell>
          <cell r="M179" t="str">
            <v>Wilfred Olivares</v>
          </cell>
          <cell r="N179" t="str">
            <v>+56 9 4450 5920</v>
          </cell>
          <cell r="O179" t="str">
            <v>wilfred.olivares@cmpc.cl</v>
          </cell>
          <cell r="P179" t="str">
            <v>CORRUGADO</v>
          </cell>
        </row>
        <row r="180">
          <cell r="B180">
            <v>10000158113</v>
          </cell>
          <cell r="C180" t="str">
            <v>CMPC-TERCEROS-ABAST-DYT</v>
          </cell>
          <cell r="D180" t="str">
            <v>CMPC-TERCEROS-ABAST-DYT-UNIC-T3-10000158113</v>
          </cell>
          <cell r="E180" t="str">
            <v>10.221.113.121</v>
          </cell>
          <cell r="F180" t="e">
            <v>#N/A</v>
          </cell>
          <cell r="G180" t="str">
            <v>Z-RETIRADO</v>
          </cell>
          <cell r="I180" t="str">
            <v>&lt;No SNMP&gt;</v>
          </cell>
          <cell r="J180" t="e">
            <v>#N/A</v>
          </cell>
          <cell r="K180" t="e">
            <v>#N/A</v>
          </cell>
          <cell r="L180" t="e">
            <v>#N/A</v>
          </cell>
          <cell r="M180" t="e">
            <v>#N/A</v>
          </cell>
          <cell r="N180" t="e">
            <v>#N/A</v>
          </cell>
          <cell r="O180" t="e">
            <v>#N/A</v>
          </cell>
          <cell r="P180" t="str">
            <v>PULP</v>
          </cell>
        </row>
        <row r="181">
          <cell r="B181">
            <v>10000014221</v>
          </cell>
          <cell r="C181" t="str">
            <v>CMPC-TERCEROS-CDEC-SYNAPSIS-SCADA</v>
          </cell>
          <cell r="D181" t="str">
            <v>CMPC-TERCEROS-CDEC-SYNAPSIS-SCADA-UNIC-T3-10000014221</v>
          </cell>
          <cell r="E181" t="str">
            <v>10.220.113.10</v>
          </cell>
          <cell r="F181" t="e">
            <v>#N/A</v>
          </cell>
          <cell r="G181" t="str">
            <v>Z-RETIRADO</v>
          </cell>
          <cell r="I181" t="str">
            <v>cisco2801</v>
          </cell>
          <cell r="J181" t="str">
            <v>FTX1049Z1Z6</v>
          </cell>
          <cell r="K181" t="e">
            <v>#N/A</v>
          </cell>
          <cell r="L181" t="e">
            <v>#N/A</v>
          </cell>
          <cell r="M181" t="e">
            <v>#N/A</v>
          </cell>
          <cell r="N181" t="e">
            <v>#N/A</v>
          </cell>
          <cell r="O181" t="e">
            <v>#N/A</v>
          </cell>
          <cell r="P181" t="str">
            <v>PULP</v>
          </cell>
        </row>
        <row r="182">
          <cell r="B182">
            <v>10000389599</v>
          </cell>
          <cell r="C182" t="str">
            <v>CMPC_SOREPA_PUDAHUEL</v>
          </cell>
          <cell r="D182" t="str">
            <v>CMPC_SOREPA_PUDAHUEL_CAE_CEN_10000389599</v>
          </cell>
          <cell r="E182">
            <v>10234136130</v>
          </cell>
          <cell r="F182" t="e">
            <v>#N/A</v>
          </cell>
          <cell r="G182" t="str">
            <v>Z-RETIRADO</v>
          </cell>
          <cell r="I182" t="e">
            <v>#N/A</v>
          </cell>
          <cell r="J182" t="e">
            <v>#N/A</v>
          </cell>
          <cell r="K182" t="e">
            <v>#N/A</v>
          </cell>
          <cell r="L182" t="e">
            <v>#N/A</v>
          </cell>
          <cell r="M182" t="e">
            <v>#N/A</v>
          </cell>
          <cell r="N182" t="e">
            <v>#N/A</v>
          </cell>
          <cell r="O182" t="e">
            <v>#N/A</v>
          </cell>
          <cell r="P182" t="str">
            <v>SOREPÄ</v>
          </cell>
        </row>
        <row r="183">
          <cell r="B183">
            <v>10000679287</v>
          </cell>
          <cell r="C183" t="str">
            <v>SOFTYS</v>
          </cell>
          <cell r="D183" t="str">
            <v>CMPC-C-SOFTYS-TEATINOS-280-PRIN-10000679287</v>
          </cell>
          <cell r="E183" t="str">
            <v>10.253.59.10</v>
          </cell>
          <cell r="G183" t="str">
            <v>Z-RETIRADO</v>
          </cell>
        </row>
        <row r="184">
          <cell r="B184">
            <v>10000699224</v>
          </cell>
          <cell r="C184" t="str">
            <v>SOFTYS</v>
          </cell>
          <cell r="D184" t="str">
            <v>CMPC-C-SOFTYS-TEATINOS-280-RESP-10000699224</v>
          </cell>
          <cell r="E184" t="str">
            <v>10.235.85.137</v>
          </cell>
          <cell r="G184" t="str">
            <v>Z-RETIRADO</v>
          </cell>
        </row>
        <row r="185">
          <cell r="B185">
            <v>10000322647</v>
          </cell>
          <cell r="D185" t="str">
            <v>CMPC-CELULOSA-LAJA-EST-AMBIENTAL-3G-T3-10000322647</v>
          </cell>
          <cell r="E185" t="str">
            <v>10.200.24.152</v>
          </cell>
          <cell r="G185" t="str">
            <v>Z-RETIRADO</v>
          </cell>
        </row>
        <row r="186">
          <cell r="B186">
            <v>10000060854</v>
          </cell>
          <cell r="D186" t="str">
            <v>CMPC-CELULOSA-SANTA-FE-INTER-DEDI-T1-10000060854</v>
          </cell>
          <cell r="E186" t="str">
            <v xml:space="preserve"> </v>
          </cell>
          <cell r="G186" t="str">
            <v>Z-RETIRADO</v>
          </cell>
        </row>
        <row r="187">
          <cell r="B187">
            <v>7811000001</v>
          </cell>
          <cell r="D187" t="str">
            <v>CMPC-CELULOSA-SANTA-FE-INTER-DEDI-T1-7811000001</v>
          </cell>
          <cell r="E187" t="str">
            <v xml:space="preserve"> </v>
          </cell>
          <cell r="G187" t="str">
            <v>Z-RETIRADO</v>
          </cell>
        </row>
        <row r="188">
          <cell r="B188">
            <v>10000023812</v>
          </cell>
          <cell r="D188" t="str">
            <v>CMPC-DATACENTER-AMU-INT-PUBLICACION-VPN-T1-10000023812</v>
          </cell>
          <cell r="E188" t="str">
            <v>200.72.44.225</v>
          </cell>
          <cell r="G188" t="str">
            <v>Z-RETIRADO</v>
          </cell>
        </row>
        <row r="189">
          <cell r="B189">
            <v>10000179223</v>
          </cell>
          <cell r="D189" t="str">
            <v>CMPC-DATACENTER-AMU-SERVER-TF-SW-T1-10000179223</v>
          </cell>
          <cell r="E189" t="str">
            <v>172.31.163.11</v>
          </cell>
          <cell r="G189" t="str">
            <v>Z-RETIRADO</v>
          </cell>
        </row>
        <row r="190">
          <cell r="B190">
            <v>10000306637</v>
          </cell>
          <cell r="D190" t="str">
            <v>CMPC-DATACENTER-CDLV-INT-NAVEGACION-GTD-10000306637</v>
          </cell>
          <cell r="E190" t="str">
            <v xml:space="preserve"> </v>
          </cell>
          <cell r="G190" t="str">
            <v>Z-RETIRADO</v>
          </cell>
          <cell r="H190" t="str">
            <v>GTD</v>
          </cell>
        </row>
        <row r="191">
          <cell r="B191">
            <v>10000318984</v>
          </cell>
          <cell r="D191" t="str">
            <v>CMPC-EDIPAC-CONCEPCION-RESP-3G-T2-10000318984</v>
          </cell>
          <cell r="E191" t="str">
            <v>10.200.24.132</v>
          </cell>
          <cell r="G191" t="str">
            <v>Z-RETIRADO</v>
          </cell>
        </row>
        <row r="192">
          <cell r="B192">
            <v>10000318985</v>
          </cell>
          <cell r="D192" t="str">
            <v>CMPC-EDIPAC-TEMUCO-RESP-3G-T2-10000318985</v>
          </cell>
          <cell r="E192" t="str">
            <v>10.200.24.133</v>
          </cell>
          <cell r="G192" t="str">
            <v>Z-RETIRADO</v>
          </cell>
        </row>
        <row r="193">
          <cell r="B193">
            <v>10000231326</v>
          </cell>
          <cell r="D193" t="str">
            <v>CMPC-FORESTAL-LAB-VIVERO-PERAL-UNIC-T3-10000231326</v>
          </cell>
          <cell r="E193" t="str">
            <v>10.228.65.98</v>
          </cell>
          <cell r="G193" t="str">
            <v>Z-RETIRADO</v>
          </cell>
        </row>
        <row r="194">
          <cell r="B194">
            <v>10000581347</v>
          </cell>
          <cell r="D194" t="str">
            <v>CMPC-FUNDACION-CONCEPCION-LINCOYAN26-UPS-T3-10000581347</v>
          </cell>
          <cell r="E194" t="str">
            <v>10.236.111.86</v>
          </cell>
          <cell r="G194" t="str">
            <v>Z-RETIRADO</v>
          </cell>
        </row>
        <row r="195">
          <cell r="B195">
            <v>10000002227</v>
          </cell>
          <cell r="C195" t="str">
            <v>CMPC-TERCERO</v>
          </cell>
          <cell r="D195" t="str">
            <v>CMPC-A-EMP-CMPC-DC-AMU-TERCEROS-10000002227</v>
          </cell>
          <cell r="E195" t="str">
            <v>10.220.113.74</v>
          </cell>
          <cell r="F195" t="str">
            <v>10.9.2.3</v>
          </cell>
          <cell r="G195" t="str">
            <v>Z-RETIRADO</v>
          </cell>
          <cell r="H195" t="str">
            <v>ENTEL-UNIC</v>
          </cell>
          <cell r="I195" t="str">
            <v>cisco2911</v>
          </cell>
          <cell r="J195" t="str">
            <v>FJC1914A089</v>
          </cell>
          <cell r="K195" t="str">
            <v>Fibra optica</v>
          </cell>
          <cell r="L195" t="str">
            <v>100 Mbps</v>
          </cell>
          <cell r="M195" t="str">
            <v>José León</v>
          </cell>
          <cell r="N195" t="str">
            <v>+56 9 8129 7366</v>
          </cell>
          <cell r="O195" t="str">
            <v>joseignacio.leon@cmpc.cl</v>
          </cell>
          <cell r="P195" t="str">
            <v>EMPRESAS CMPC</v>
          </cell>
        </row>
      </sheetData>
      <sheetData sheetId="1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825.573859490738" backgroundQuery="1" createdVersion="8" refreshedVersion="8" minRefreshableVersion="3" recordCount="0" supportSubquery="1" supportAdvancedDrill="1" xr:uid="{B3A57F54-AFB6-49F1-9F84-A0FC0DA1C8D7}">
  <cacheSource type="external" connectionId="1"/>
  <cacheFields count="2">
    <cacheField name="[Rango 1].[FIREWALL].[FIREWALL]" caption="FIREWALL" numFmtId="0" hierarchy="19" level="1">
      <sharedItems count="5">
        <s v="INTERNET"/>
        <s v="ROUTER"/>
        <s v="ROUTER XG"/>
        <s v="STACK"/>
        <s v="SWITCH"/>
      </sharedItems>
    </cacheField>
    <cacheField name="[Measures].[Recuento de 10000500811]" caption="Recuento de 10000500811" numFmtId="0" hierarchy="27" level="32767"/>
  </cacheFields>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0" memberValueDatatype="130" unbalanced="0"/>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0" memberValueDatatype="130" unbalanced="0"/>
    <cacheHierarchy uniqueName="[Rango].[Resposabilidad]" caption="Resposabilidad" attribute="1" defaultMemberUniqueName="[Rango].[Resposabilidad].[All]" allUniqueName="[Rango].[Resposabilidad].[All]" dimensionUniqueName="[Rango]" displayFolder="" count="0" memberValueDatatype="130" unbalanced="0"/>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0" memberValueDatatype="130" unbalanced="0"/>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2" memberValueDatatype="130" unbalanced="0">
      <fieldsUsage count="2">
        <fieldUsage x="-1"/>
        <fieldUsage x="0"/>
      </fieldsUsage>
    </cacheHierarchy>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hidden="1">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oneField="1" hidden="1">
      <fieldsUsage count="1">
        <fieldUsage x="1"/>
      </fieldsUsage>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o" uniqueName="[Rango]" caption="Rango"/>
    <dimension name="Rango 1" uniqueName="[Rango 1]" caption="Rango 1"/>
  </dimensions>
  <measureGroups count="2">
    <measureGroup name="Rango" caption="Rango"/>
    <measureGroup name="Rango 1" caption="Rango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951.691479050925" backgroundQuery="1" createdVersion="8" refreshedVersion="8" minRefreshableVersion="3" recordCount="0" supportSubquery="1" supportAdvancedDrill="1" xr:uid="{52A2E21F-2C60-419E-9C9B-CAA15CB71A7F}">
  <cacheSource type="external" connectionId="1"/>
  <cacheFields count="3">
    <cacheField name="[Rango].[Resposabilidad].[Resposabilidad]" caption="Resposabilidad" numFmtId="0" hierarchy="10" level="1">
      <sharedItems count="2">
        <s v="Cliente"/>
        <s v="Entel"/>
      </sharedItems>
    </cacheField>
    <cacheField name="[Measures].[Recuento de Resposabilidad]" caption="Recuento de Resposabilidad" numFmtId="0" hierarchy="24" level="32767"/>
    <cacheField name="[Rango].[Fecha de Inicio (mes)].[Fecha de Inicio (mes)]" caption="Fecha de Inicio (mes)" numFmtId="0" hierarchy="13" level="1">
      <sharedItems containsSemiMixedTypes="0" containsNonDate="0" containsString="0"/>
    </cacheField>
  </cacheFields>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0" memberValueDatatype="130" unbalanced="0"/>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0" memberValueDatatype="130" unbalanced="0"/>
    <cacheHierarchy uniqueName="[Rango].[Resposabilidad]" caption="Resposabilidad" attribute="1" defaultMemberUniqueName="[Rango].[Resposabilidad].[All]" allUniqueName="[Rango].[Resposabilidad].[All]" dimensionUniqueName="[Rango]" displayFolder="" count="2" memberValueDatatype="130" unbalanced="0">
      <fieldsUsage count="2">
        <fieldUsage x="-1"/>
        <fieldUsage x="0"/>
      </fieldsUsage>
    </cacheHierarchy>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2" memberValueDatatype="130" unbalanced="0">
      <fieldsUsage count="2">
        <fieldUsage x="-1"/>
        <fieldUsage x="2"/>
      </fieldsUsage>
    </cacheHierarchy>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0" memberValueDatatype="130" unbalanced="0"/>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oneField="1" hidden="1">
      <fieldsUsage count="1">
        <fieldUsage x="1"/>
      </fieldsUsage>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hidden="1">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o" uniqueName="[Rango]" caption="Rango"/>
    <dimension name="Rango 1" uniqueName="[Rango 1]" caption="Rango 1"/>
  </dimensions>
  <measureGroups count="2">
    <measureGroup name="Rango" caption="Rango"/>
    <measureGroup name="Rango 1" caption="Rango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951.691479513887" backgroundQuery="1" createdVersion="8" refreshedVersion="8" minRefreshableVersion="3" recordCount="0" supportSubquery="1" supportAdvancedDrill="1" xr:uid="{7B8B2F8B-5A39-4D48-B22B-70ADA530FB73}">
  <cacheSource type="external" connectionId="1"/>
  <cacheFields count="3">
    <cacheField name="[Rango].[Equipo].[Equipo]" caption="Equipo" numFmtId="0" hierarchy="3" level="1">
      <sharedItems count="80">
        <s v="CELULOSA-SANTA-FE-TELEFONIA-7096170001"/>
        <s v="CMPC-A-EMP-CMPC-DC-AMU-SWITCH-CORE-9300-10000573525"/>
        <s v="CMPC-B-CEL-MADERAS-LOS-ANGELES-ED-CORP-PRIN-10000396994-RESP-GTD"/>
        <s v="CMPC-C-CEL-LAJA-PRIN-10000022234"/>
        <s v="CMPC-C-CEL-MADERAS-PLANTA-CLEAR-PRIN-10000000822-RESP-GTD"/>
        <s v="CMPC-C-CEL-MADERAS-PLYWOOD-PRIN-7853300001-RESP-GTD"/>
        <s v="CMPC-C-CEL-PACIFICO-PRIN-10000058627"/>
        <s v="CMPC-C-CEL-PACIFICO-RESP-10000022240"/>
        <s v="CMPC-C-CEL-SANTA-FE-PRIN-10000058781-RESP-GTD"/>
        <s v="CMPC-D-BIO-SOREPA-ANTOFAGASTA-PRIN-6999070001-RESP-GTD"/>
        <s v="CMPC-D-BIO-SOREPA-ANTOFAGASTA-UPS-10000581382"/>
        <s v="CMPC-D-CEL-CAPITAN-PASTENE-UNIC-10000514345"/>
        <s v="CMPC-D-CEL-FORESTAL-COYHAIQUE-UNIC-10000000427"/>
        <s v="CMPC-D-CEL-MADERAS-BUCALEMU-PRIN-10000000824-RESP-GTD"/>
        <s v="CMPC-D-CEL-MADERAS-PAILLIHUE-VIVERO-CDOUGLAS-UNIC-10000002550"/>
        <s v="CMPC-D-TERCEROS-GENESYS-UNIC-7016120002"/>
        <s v="CMPC-PAPELES-EIRA-OSORNO-CORE-SW-10000138837"/>
        <s v="CMPC-PAPELES-EIRA-OSORNO-PORT-UPS-10000372568"/>
        <s v="CMPC-A-EMP-CMPC-DC-CDLV-IPSLA-10000600258" u="1"/>
        <s v="CMPC-A-EMP-CMPC-DC-CDLV-SWITCH-CORE-9300-10000569696" u="1"/>
        <s v="CMPC-C-SOFTYS-LO-ECHEVERS-ED-AD-RESP-10000457640" u="1"/>
        <s v="CMPC-C-SOFTYS-PTE-ALTO-PRIN-10000006824-RESP-GTD" u="1"/>
        <s v="CMPC-D-BIO-TERCEROS-LM-UNIC-10000002079" u="1"/>
        <s v="CMPC-D-CEL-FORMIN-ANGOL-UNIC-6963530001" u="1"/>
        <s v="CMPC-PAPELES-EIRA-OSORNO-SERV1-SW-10000372140" u="1"/>
        <s v="CMPC-PAPELES-EIRA-OSORNO-SERV2-SW-10000372139" u="1"/>
        <s v="CELULOSA-LAJA-TELEFONIA-7096130001" u="1"/>
        <s v="CMPC_DC_AMUN_CORE_PRINCIPAL_10000567899" u="1"/>
        <s v="CMPC_FUNDACION_P.ALESSANDRI_CASETA_10000011130" u="1"/>
        <s v="CMPC_SOFTYS_TALAGANTE_CAE_CEN_10000135304" u="1"/>
        <s v="CMPC_SOREPA_PUDAHUEL_CAE_CEN_10000389599" u="1"/>
        <s v="CMPC-A-EMP-CMPC-DC-CENTRAL-AMU-PRIN-7874420003" u="1"/>
        <s v="CMPC-A-EMP-CMPC-DC-KYNDRYL-RESP-10000065131" u="1"/>
        <s v="CMPC-A-EMP-CMPC-DC-STACK3850-CDLV-10000304622" u="1"/>
        <s v="CMPC-B-CEL-MADERAS-LOS-ANGELES-ED-CORP-UPS-10000569562" u="1"/>
        <s v="CMPC-C-BIO-CARTULINAS-MAULE-PRIN-10000058617-RESP-GTD" u="1"/>
        <s v="CMPC-C-BIO-CARTULINAS-VALDIVIA-PRIN-6935210001-RESP-GTD" u="1"/>
        <s v="CMPC-C-BIO-CHIMOLSA-PTE-ALTO-PRIN-10000379551-RESP-GTD" u="1"/>
        <s v="CMPC-C-BIO-CHIMOLSA-PTE-ALTO-UPS-10000569561" u="1"/>
        <s v="CMPC-C-BIO-EDIPAC-QUILICURA-PRIN-7823550001-RESP-GTD" u="1"/>
        <s v="CMPC-C-BIO-ENVASES-ROBLE-ALTO-TIL-TIL-CAE-CEN-10000389594" u="1"/>
        <s v="CMPC-C-CEL-FORSAC-CHILLAN-INTERNET-10000612357" u="1"/>
        <s v="CMPC-C-CEL-LAJA-RESP-10000058625" u="1"/>
        <s v="CMPC-C-CEL-MADERAS-PLANTA-CLEAR-UPS-10000569819" u="1"/>
        <s v="CMPC-C-CEL-PORTUARIA-LIRQUEN-PRIN-7810530001-RESP-GTD" u="1"/>
        <s v="CMPC-C-CEL-SANTA-FE-CEN-HOTLINE-10000296104" u="1"/>
        <s v="CMPC-C-SOFTYS-LO-ECHEVERS-CD-PRIN-10000457638" u="1"/>
        <s v="CMPC-C-SOFTYS-TEATINOS-280-PRIN-10000679287" u="1"/>
        <s v="CMPC-D-BIO-CARTULINAS-CERRILLOS-DITRANS-UNIC-6966100001" u="1"/>
        <s v="CMPC-D-BIO-EDIPAC-CONCEPCION-PRIN-6999020001-RESP-GTD" u="1"/>
        <s v="CMPC-D-BIO-EDIPAC-TEMUCO-UPS-10000581653" u="1"/>
        <s v="CMPC-D-BIO-ENVASES-EIRA-LO-ESPEJO-PRIN-10000081665-RESP-GTD" u="1"/>
        <s v="CMPC-D-BIO-ENVASES-ROBLE-ALTO-BUIN-PRIN-10000057950-RESP-GTD" u="1"/>
        <s v="CMPC-D-BIO-ENVASES-ROBLE-ALTO-BUIN-UPS-10000581659" u="1"/>
        <s v="CMPC-D-BIO-SOREPA-CHILLAN-UNIC-10000119172" u="1"/>
        <s v="CMPC-D-BIO-SOREPA-CONCEPCION-UNIC-7800450001" u="1"/>
        <s v="CMPC-D-BIO-SOREPA-COQUIMBO-PRIN-6999080001-RESP-GTD" u="1"/>
        <s v="CMPC-D-BIO-SOREPA-COQUIMBO-UPS-10000581383" u="1"/>
        <s v="CMPC-D-BIO-SOREPA-PTOMONTT-PRIN-10000024475-RESP-GTD" u="1"/>
        <s v="CMPC-D-BIO-SOREPA-PUDAHUEL-PRIN-6999100001-RESP-GTD" u="1"/>
        <s v="CMPC-D-CEL-CAPITAN-PASTENE-UPS-10000581441" u="1"/>
        <s v="CMPC-D-CEL-CHARRUA-UNIC-6998930001" u="1"/>
        <s v="CMPC-D-CEL-CONCEPCION-INTERNET-10000577752" u="1"/>
        <s v="CMPC-D-CEL-FMININCO-CONCEPCION-UPS-10000581655" u="1"/>
        <s v="CMPC-D-CEL-FORMIN-CANETE-UNIC-7808270001" u="1"/>
        <s v="CMPC-D-CEL-INTERNET-VILLA-MININCO-10000365255" u="1"/>
        <s v="CMPC-D-CEL-MADERAS-BUCALEMU-UPS-10000581483" u="1"/>
        <s v="CMPC-D-CEL-MADERAS-CORONEL-PRIN-7831420001-RESP-GTD" u="1"/>
        <s v="CMPC-D-CEL-MADERAS-MULCHEN-PRIN-10000000853-RESP-GTD" u="1"/>
        <s v="CMPC-D-CEL-MADERAS-PAILLIHUE-VIVERO-CDOUGLAS-UPS-10000581462" u="1"/>
        <s v="CMPC-D-CEL-TALCA-UNIC-6998890001" u="1"/>
        <s v="CMPC-D-TERCEROS-SERFOVAL-UNIC-10000004781" u="1"/>
        <s v="CMPC-E-CABRERO-UNIC-10000691052" u="1"/>
        <s v="CMPC-PAPELES-EIRA-OSORNO-PRIN-T3-10000100046" u="1"/>
        <s v="CMPC-PAPELES-EIRA-OSORNO-UPS-T3-10000569834" u="1"/>
        <s v="CMPC-SOREPA-TALCA-10000711182" u="1"/>
        <s v="FIBRA OSCURA EFLUENTE-4518550001" u="1"/>
        <s v="SANTA FE 1" u="1"/>
        <s v="SANTA FE 2" u="1"/>
        <s v="TELEFONIA SANTA FE TRAMA" u="1"/>
      </sharedItems>
    </cacheField>
    <cacheField name="[Measures].[Recuento distinto de Equipo]" caption="Recuento distinto de Equipo" numFmtId="0" hierarchy="26" level="32767"/>
    <cacheField name="[Rango].[Fecha de Inicio (mes)].[Fecha de Inicio (mes)]" caption="Fecha de Inicio (mes)" numFmtId="0" hierarchy="13" level="1">
      <sharedItems containsSemiMixedTypes="0" containsNonDate="0" containsString="0"/>
    </cacheField>
  </cacheFields>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2" memberValueDatatype="130" unbalanced="0">
      <fieldsUsage count="2">
        <fieldUsage x="-1"/>
        <fieldUsage x="0"/>
      </fieldsUsage>
    </cacheHierarchy>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0" memberValueDatatype="130" unbalanced="0"/>
    <cacheHierarchy uniqueName="[Rango].[Resposabilidad]" caption="Resposabilidad" attribute="1" defaultMemberUniqueName="[Rango].[Resposabilidad].[All]" allUniqueName="[Rango].[Resposabilidad].[All]" dimensionUniqueName="[Rango]" displayFolder="" count="0" memberValueDatatype="130" unbalanced="0"/>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2" memberValueDatatype="130" unbalanced="0">
      <fieldsUsage count="2">
        <fieldUsage x="-1"/>
        <fieldUsage x="2"/>
      </fieldsUsage>
    </cacheHierarchy>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0" memberValueDatatype="130" unbalanced="0"/>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hidden="1">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oneField="1" hidden="1">
      <fieldsUsage count="1">
        <fieldUsage x="1"/>
      </fieldsUsage>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hidden="1">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o" uniqueName="[Rango]" caption="Rango"/>
    <dimension name="Rango 1" uniqueName="[Rango 1]" caption="Rango 1"/>
  </dimensions>
  <measureGroups count="2">
    <measureGroup name="Rango" caption="Rango"/>
    <measureGroup name="Rango 1" caption="Rango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951.691480092595" backgroundQuery="1" createdVersion="8" refreshedVersion="8" minRefreshableVersion="3" recordCount="0" supportSubquery="1" supportAdvancedDrill="1" xr:uid="{2BB6B656-0BBF-43A6-8C06-4D98599B5B86}">
  <cacheSource type="external" connectionId="1"/>
  <cacheFields count="4">
    <cacheField name="[Rango].[Resposabilidad].[Resposabilidad]" caption="Resposabilidad" numFmtId="0" hierarchy="10" level="1">
      <sharedItems count="2">
        <s v="Cliente"/>
        <s v="Entel"/>
      </sharedItems>
    </cacheField>
    <cacheField name="[Rango].[Observación].[Observación]" caption="Observación" numFmtId="0" hierarchy="9" level="1">
      <sharedItems count="8">
        <s v="BRED // NODO DE ACCESO"/>
        <s v="Otros problemas // asociados a cliente"/>
        <s v="Otros problemas // asociados a ENTEL"/>
        <s v="Problemas electricos"/>
        <s v="Corte de ultima milla" u="1"/>
        <s v="Otro problemas // asociados a cliente" u="1"/>
        <s v="Otro problemas // asociados a ENTEL" u="1"/>
        <s v="Problema electricos" u="1"/>
      </sharedItems>
    </cacheField>
    <cacheField name="[Measures].[Recuento de Observación]" caption="Recuento de Observación" numFmtId="0" hierarchy="28" level="32767"/>
    <cacheField name="[Rango].[Fecha de Inicio (mes)].[Fecha de Inicio (mes)]" caption="Fecha de Inicio (mes)" numFmtId="0" hierarchy="13" level="1">
      <sharedItems containsSemiMixedTypes="0" containsNonDate="0" containsString="0"/>
    </cacheField>
  </cacheFields>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0" memberValueDatatype="130" unbalanced="0"/>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2" memberValueDatatype="130" unbalanced="0">
      <fieldsUsage count="2">
        <fieldUsage x="-1"/>
        <fieldUsage x="1"/>
      </fieldsUsage>
    </cacheHierarchy>
    <cacheHierarchy uniqueName="[Rango].[Resposabilidad]" caption="Resposabilidad" attribute="1" defaultMemberUniqueName="[Rango].[Resposabilidad].[All]" allUniqueName="[Rango].[Resposabilidad].[All]" dimensionUniqueName="[Rango]" displayFolder="" count="2" memberValueDatatype="130" unbalanced="0">
      <fieldsUsage count="2">
        <fieldUsage x="-1"/>
        <fieldUsage x="0"/>
      </fieldsUsage>
    </cacheHierarchy>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2" memberValueDatatype="130" unbalanced="0">
      <fieldsUsage count="2">
        <fieldUsage x="-1"/>
        <fieldUsage x="3"/>
      </fieldsUsage>
    </cacheHierarchy>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0" memberValueDatatype="130" unbalanced="0"/>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hidden="1">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hidden="1">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o" uniqueName="[Rango]" caption="Rango"/>
    <dimension name="Rango 1" uniqueName="[Rango 1]" caption="Rango 1"/>
  </dimensions>
  <measureGroups count="2">
    <measureGroup name="Rango" caption="Rango"/>
    <measureGroup name="Rango 1" caption="Rango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951.691480439818" backgroundQuery="1" createdVersion="8" refreshedVersion="8" minRefreshableVersion="3" recordCount="0" supportSubquery="1" supportAdvancedDrill="1" xr:uid="{2BF1CFAA-0AF5-4644-9004-5DAB652344DC}">
  <cacheSource type="external" connectionId="1"/>
  <cacheFields count="4">
    <cacheField name="[Rango].[Equipo].[Equipo]" caption="Equipo" numFmtId="0" hierarchy="3" level="1">
      <sharedItems count="80">
        <s v="CELULOSA-SANTA-FE-TELEFONIA-7096170001"/>
        <s v="CMPC-A-EMP-CMPC-DC-AMU-SWITCH-CORE-9300-10000573525"/>
        <s v="CMPC-B-CEL-MADERAS-LOS-ANGELES-ED-CORP-PRIN-10000396994-RESP-GTD"/>
        <s v="CMPC-C-CEL-LAJA-PRIN-10000022234"/>
        <s v="CMPC-C-CEL-MADERAS-PLANTA-CLEAR-PRIN-10000000822-RESP-GTD"/>
        <s v="CMPC-C-CEL-MADERAS-PLYWOOD-PRIN-7853300001-RESP-GTD"/>
        <s v="CMPC-C-CEL-PACIFICO-PRIN-10000058627"/>
        <s v="CMPC-C-CEL-PACIFICO-RESP-10000022240"/>
        <s v="CMPC-C-CEL-SANTA-FE-PRIN-10000058781-RESP-GTD"/>
        <s v="CMPC-D-BIO-SOREPA-ANTOFAGASTA-PRIN-6999070001-RESP-GTD"/>
        <s v="CMPC-D-BIO-SOREPA-ANTOFAGASTA-UPS-10000581382"/>
        <s v="CMPC-D-CEL-CAPITAN-PASTENE-UNIC-10000514345"/>
        <s v="CMPC-D-CEL-FORESTAL-COYHAIQUE-UNIC-10000000427"/>
        <s v="CMPC-D-CEL-MADERAS-BUCALEMU-PRIN-10000000824-RESP-GTD"/>
        <s v="CMPC-D-CEL-MADERAS-PAILLIHUE-VIVERO-CDOUGLAS-UNIC-10000002550"/>
        <s v="CMPC-D-TERCEROS-GENESYS-UNIC-7016120002"/>
        <s v="CMPC-PAPELES-EIRA-OSORNO-CORE-SW-10000138837"/>
        <s v="CMPC-PAPELES-EIRA-OSORNO-PORT-UPS-10000372568"/>
        <s v="CMPC-A-EMP-CMPC-DC-CDLV-IPSLA-10000600258" u="1"/>
        <s v="CMPC-A-EMP-CMPC-DC-CDLV-SWITCH-CORE-9300-10000569696" u="1"/>
        <s v="CMPC-C-SOFTYS-LO-ECHEVERS-ED-AD-RESP-10000457640" u="1"/>
        <s v="CMPC-C-SOFTYS-PTE-ALTO-PRIN-10000006824-RESP-GTD" u="1"/>
        <s v="CMPC-D-BIO-TERCEROS-LM-UNIC-10000002079" u="1"/>
        <s v="CMPC-D-CEL-FORMIN-ANGOL-UNIC-6963530001" u="1"/>
        <s v="CMPC-PAPELES-EIRA-OSORNO-SERV1-SW-10000372140" u="1"/>
        <s v="CMPC-PAPELES-EIRA-OSORNO-SERV2-SW-10000372139" u="1"/>
        <s v="CELULOSA-LAJA-TELEFONIA-7096130001" u="1"/>
        <s v="CMPC_DC_AMUN_CORE_PRINCIPAL_10000567899" u="1"/>
        <s v="CMPC_FUNDACION_P.ALESSANDRI_CASETA_10000011130" u="1"/>
        <s v="CMPC_SOFTYS_TALAGANTE_CAE_CEN_10000135304" u="1"/>
        <s v="CMPC_SOREPA_PUDAHUEL_CAE_CEN_10000389599" u="1"/>
        <s v="CMPC-A-EMP-CMPC-DC-CENTRAL-AMU-PRIN-7874420003" u="1"/>
        <s v="CMPC-A-EMP-CMPC-DC-KYNDRYL-RESP-10000065131" u="1"/>
        <s v="CMPC-A-EMP-CMPC-DC-STACK3850-CDLV-10000304622" u="1"/>
        <s v="CMPC-B-CEL-MADERAS-LOS-ANGELES-ED-CORP-UPS-10000569562" u="1"/>
        <s v="CMPC-C-BIO-CARTULINAS-MAULE-PRIN-10000058617-RESP-GTD" u="1"/>
        <s v="CMPC-C-BIO-CARTULINAS-VALDIVIA-PRIN-6935210001-RESP-GTD" u="1"/>
        <s v="CMPC-C-BIO-CHIMOLSA-PTE-ALTO-PRIN-10000379551-RESP-GTD" u="1"/>
        <s v="CMPC-C-BIO-CHIMOLSA-PTE-ALTO-UPS-10000569561" u="1"/>
        <s v="CMPC-C-BIO-EDIPAC-QUILICURA-PRIN-7823550001-RESP-GTD" u="1"/>
        <s v="CMPC-C-BIO-ENVASES-ROBLE-ALTO-TIL-TIL-CAE-CEN-10000389594" u="1"/>
        <s v="CMPC-C-CEL-FORSAC-CHILLAN-INTERNET-10000612357" u="1"/>
        <s v="CMPC-C-CEL-LAJA-RESP-10000058625" u="1"/>
        <s v="CMPC-C-CEL-MADERAS-PLANTA-CLEAR-UPS-10000569819" u="1"/>
        <s v="CMPC-C-CEL-PORTUARIA-LIRQUEN-PRIN-7810530001-RESP-GTD" u="1"/>
        <s v="CMPC-C-CEL-SANTA-FE-CEN-HOTLINE-10000296104" u="1"/>
        <s v="CMPC-C-SOFTYS-LO-ECHEVERS-CD-PRIN-10000457638" u="1"/>
        <s v="CMPC-C-SOFTYS-TEATINOS-280-PRIN-10000679287" u="1"/>
        <s v="CMPC-D-BIO-CARTULINAS-CERRILLOS-DITRANS-UNIC-6966100001" u="1"/>
        <s v="CMPC-D-BIO-EDIPAC-CONCEPCION-PRIN-6999020001-RESP-GTD" u="1"/>
        <s v="CMPC-D-BIO-EDIPAC-TEMUCO-UPS-10000581653" u="1"/>
        <s v="CMPC-D-BIO-ENVASES-EIRA-LO-ESPEJO-PRIN-10000081665-RESP-GTD" u="1"/>
        <s v="CMPC-D-BIO-ENVASES-ROBLE-ALTO-BUIN-PRIN-10000057950-RESP-GTD" u="1"/>
        <s v="CMPC-D-BIO-ENVASES-ROBLE-ALTO-BUIN-UPS-10000581659" u="1"/>
        <s v="CMPC-D-BIO-SOREPA-CHILLAN-UNIC-10000119172" u="1"/>
        <s v="CMPC-D-BIO-SOREPA-CONCEPCION-UNIC-7800450001" u="1"/>
        <s v="CMPC-D-BIO-SOREPA-COQUIMBO-PRIN-6999080001-RESP-GTD" u="1"/>
        <s v="CMPC-D-BIO-SOREPA-COQUIMBO-UPS-10000581383" u="1"/>
        <s v="CMPC-D-BIO-SOREPA-PTOMONTT-PRIN-10000024475-RESP-GTD" u="1"/>
        <s v="CMPC-D-BIO-SOREPA-PUDAHUEL-PRIN-6999100001-RESP-GTD" u="1"/>
        <s v="CMPC-D-CEL-CAPITAN-PASTENE-UPS-10000581441" u="1"/>
        <s v="CMPC-D-CEL-CHARRUA-UNIC-6998930001" u="1"/>
        <s v="CMPC-D-CEL-CONCEPCION-INTERNET-10000577752" u="1"/>
        <s v="CMPC-D-CEL-FMININCO-CONCEPCION-UPS-10000581655" u="1"/>
        <s v="CMPC-D-CEL-FORMIN-CANETE-UNIC-7808270001" u="1"/>
        <s v="CMPC-D-CEL-INTERNET-VILLA-MININCO-10000365255" u="1"/>
        <s v="CMPC-D-CEL-MADERAS-BUCALEMU-UPS-10000581483" u="1"/>
        <s v="CMPC-D-CEL-MADERAS-CORONEL-PRIN-7831420001-RESP-GTD" u="1"/>
        <s v="CMPC-D-CEL-MADERAS-MULCHEN-PRIN-10000000853-RESP-GTD" u="1"/>
        <s v="CMPC-D-CEL-MADERAS-PAILLIHUE-VIVERO-CDOUGLAS-UPS-10000581462" u="1"/>
        <s v="CMPC-D-CEL-TALCA-UNIC-6998890001" u="1"/>
        <s v="CMPC-D-TERCEROS-SERFOVAL-UNIC-10000004781" u="1"/>
        <s v="CMPC-E-CABRERO-UNIC-10000691052" u="1"/>
        <s v="CMPC-PAPELES-EIRA-OSORNO-PRIN-T3-10000100046" u="1"/>
        <s v="CMPC-PAPELES-EIRA-OSORNO-UPS-T3-10000569834" u="1"/>
        <s v="CMPC-SOREPA-TALCA-10000711182" u="1"/>
        <s v="FIBRA OSCURA EFLUENTE-4518550001" u="1"/>
        <s v="SANTA FE 1" u="1"/>
        <s v="SANTA FE 2" u="1"/>
        <s v="TELEFONIA SANTA FE TRAMA" u="1"/>
      </sharedItems>
    </cacheField>
    <cacheField name="[Rango].[Observación].[Observación]" caption="Observación" numFmtId="0" hierarchy="9" level="1">
      <sharedItems count="41">
        <s v="BRED // NODO DE ACCESO"/>
        <s v="Otros problemas // asociados a cliente"/>
        <s v="Otros problemas // asociados a ENTEL"/>
        <s v="Problemas electricos"/>
        <s v="Problemas Electricos con UPS"/>
        <s v="Caida de interfaz Port-channel43" u="1"/>
        <s v="Caida de servicio" u="1"/>
        <s v="Caida de servicio - Caida en el protocolo BGP hacia el PE, se observan logs de flapeo de distintas MAC por VLAN 332 y VLAN 1" u="1"/>
        <s v="Caida de servicio - Caida en el protocolo BGP hacia SWL3 ENTEL-CMPC" u="1"/>
        <s v="Caida de servicio - Corte de energía programado" u="1"/>
        <s v="Caida de servicio - Servicio afectado por BRED en nodo Angol - Cable FO cortado por terceros" u="1"/>
        <s v="Se aprecia reinicio en el protocolo BGP de la Vlan91 - HACIA VDOM TERCEROS CMPC - Internet - DMZ, la cual se normaliza" u="1"/>
        <s v="Se solicita agregar ruta estatica en equipos Core" u="1"/>
        <s v="Se solicita agregar ruta estatica y prefix-list" u="1"/>
        <s v="Se solicita agregar VLAN 1 a interfaces de Port-Channel 11" u="1"/>
        <s v="Se solicita revisión por posibles caidas" u="1"/>
        <s v="Servicio caido vuelve después de corte electrico" u="1"/>
        <s v="Caída de interfaz hacia WAN, provoco reinicio BGP" u="1"/>
        <s v="Caida de servicio // afectado por BRED corte de fibra INC000007768172" u="1"/>
        <s v="Caida de servicio // Afectado por BRED INC000007773836  corte de fibra." u="1"/>
        <s v="Caida de servicio // probelmas en nodo de acceso" u="1"/>
        <s v="Caida de servicio // probelmas jumper optico" u="1"/>
        <s v="Caida de servicio // Trabajos programados" u="1"/>
        <s v="Caida de servicio //BRED INC000007778249 corte de fibra // ETR 7 horas" u="1"/>
        <s v="Caida de servicio, personal en tereno // asignado BRED INC000007760971" u="1"/>
        <s v="Central telefonica con probelms en Interfaz probelmas" u="1"/>
        <s v="Corte de fibra entre Radio estacion y Cliente." u="1"/>
        <s v="Corte de ultima milla" u="1"/>
        <s v="Degradacion por BRED que afecta NODO de acceso" u="1"/>
        <s v="Enlaces caen tras descarga total de UPS, Servicio vuelve a estar operativo" u="1"/>
        <s v="Equipos vuelven a estar operativos despues de corte electrico" u="1"/>
        <s v="INC de Mejoras" u="1"/>
        <s v="Intermitencias // Lentitud" u="1"/>
        <s v="Otro problemas // asociados a cliente" u="1"/>
        <s v="Otro problemas // asociados a ENTEL" u="1"/>
        <s v="Problema electricos" u="1"/>
        <s v="Problema equipo XG" u="1"/>
        <s v="Se verifica probelma en nodo de acceso. Jumper dañado" u="1"/>
        <s v="Servicio levanta luego de corte eléctrico" u="1"/>
        <s v="Servicio se encuentra con Logs %IOSXE_QFP-2-LOAD_RECOVER" u="1"/>
        <s v="UPS se descarga, vuelve luego de corte electrico" u="1"/>
      </sharedItems>
    </cacheField>
    <cacheField name="[Rango].[Fecha de Inicio (mes)].[Fecha de Inicio (mes)]" caption="Fecha de Inicio (mes)" numFmtId="0" hierarchy="13" level="1">
      <sharedItems containsSemiMixedTypes="0" containsNonDate="0" containsString="0"/>
    </cacheField>
    <cacheField name="[Measures].[Recuento de Observación]" caption="Recuento de Observación" numFmtId="0" hierarchy="28" level="32767"/>
  </cacheFields>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2" memberValueDatatype="130" unbalanced="0">
      <fieldsUsage count="2">
        <fieldUsage x="-1"/>
        <fieldUsage x="0"/>
      </fieldsUsage>
    </cacheHierarchy>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2" memberValueDatatype="130" unbalanced="0">
      <fieldsUsage count="2">
        <fieldUsage x="-1"/>
        <fieldUsage x="1"/>
      </fieldsUsage>
    </cacheHierarchy>
    <cacheHierarchy uniqueName="[Rango].[Resposabilidad]" caption="Resposabilidad" attribute="1" defaultMemberUniqueName="[Rango].[Resposabilidad].[All]" allUniqueName="[Rango].[Resposabilidad].[All]" dimensionUniqueName="[Rango]" displayFolder="" count="0" memberValueDatatype="130" unbalanced="0"/>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2" memberValueDatatype="130" unbalanced="0">
      <fieldsUsage count="2">
        <fieldUsage x="-1"/>
        <fieldUsage x="2"/>
      </fieldsUsage>
    </cacheHierarchy>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0" memberValueDatatype="130" unbalanced="0"/>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hidden="1">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hidden="1">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o" uniqueName="[Rango]" caption="Rango"/>
    <dimension name="Rango 1" uniqueName="[Rango 1]" caption="Rango 1"/>
  </dimensions>
  <measureGroups count="2">
    <measureGroup name="Rango" caption="Rango"/>
    <measureGroup name="Rango 1" caption="Rango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Junior Jiménez Quintero" refreshedDate="45951.681824884261" backgroundQuery="1" createdVersion="3" refreshedVersion="8" minRefreshableVersion="3" recordCount="0" supportSubquery="1" supportAdvancedDrill="1" xr:uid="{B0AB42D7-67EC-43D0-9278-72D440092507}">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o].[Fecha de Inicio]" caption="Fecha de Inicio" attribute="1" time="1" defaultMemberUniqueName="[Rango].[Fecha de Inicio].[All]" allUniqueName="[Rango].[Fecha de Inicio].[All]" dimensionUniqueName="[Rango]" displayFolder="" count="0" memberValueDatatype="7" unbalanced="0"/>
    <cacheHierarchy uniqueName="[Rango].[N° Ticket Incidente]" caption="N° Ticket Incidente" attribute="1" defaultMemberUniqueName="[Rango].[N° Ticket Incidente].[All]" allUniqueName="[Rango].[N° Ticket Incidente].[All]" dimensionUniqueName="[Rango]" displayFolder="" count="0" memberValueDatatype="130" unbalanced="0"/>
    <cacheHierarchy uniqueName="[Rango].[Cod. Servicio]" caption="Cod. Servicio" attribute="1" defaultMemberUniqueName="[Rango].[Cod. Servicio].[All]" allUniqueName="[Rango].[Cod. Servicio].[All]" dimensionUniqueName="[Rango]" displayFolder="" count="0" memberValueDatatype="5" unbalanced="0"/>
    <cacheHierarchy uniqueName="[Rango].[Equipo]" caption="Equipo" attribute="1" defaultMemberUniqueName="[Rango].[Equipo].[All]" allUniqueName="[Rango].[Equipo].[All]" dimensionUniqueName="[Rango]" displayFolder="" count="0" memberValueDatatype="130" unbalanced="0"/>
    <cacheHierarchy uniqueName="[Rango].[IP]" caption="IP" attribute="1" defaultMemberUniqueName="[Rango].[IP].[All]" allUniqueName="[Rango].[IP].[All]" dimensionUniqueName="[Rango]" displayFolder="" count="0" memberValueDatatype="130" unbalanced="0"/>
    <cacheHierarchy uniqueName="[Rango].[Sitio]" caption="Sitio" attribute="1" defaultMemberUniqueName="[Rango].[Sitio].[All]" allUniqueName="[Rango].[Sitio].[All]" dimensionUniqueName="[Rango]" displayFolder="" count="0" memberValueDatatype="130" unbalanced="0"/>
    <cacheHierarchy uniqueName="[Rango].[Incidente]" caption="Incidente" attribute="1" defaultMemberUniqueName="[Rango].[Incidente].[All]" allUniqueName="[Rango].[Incidente].[All]" dimensionUniqueName="[Rango]" displayFolder="" count="0" memberValueDatatype="130" unbalanced="0"/>
    <cacheHierarchy uniqueName="[Rango].[Tipo de incidente]" caption="Tipo de incidente" attribute="1" defaultMemberUniqueName="[Rango].[Tipo de incidente].[All]" allUniqueName="[Rango].[Tipo de incidente].[All]" dimensionUniqueName="[Rango]" displayFolder="" count="0" memberValueDatatype="130" unbalanced="0"/>
    <cacheHierarchy uniqueName="[Rango].[Causa]" caption="Causa" attribute="1" defaultMemberUniqueName="[Rango].[Causa].[All]" allUniqueName="[Rango].[Causa].[All]" dimensionUniqueName="[Rango]" displayFolder="" count="0" memberValueDatatype="130" unbalanced="0"/>
    <cacheHierarchy uniqueName="[Rango].[Observación]" caption="Observación" attribute="1" defaultMemberUniqueName="[Rango].[Observación].[All]" allUniqueName="[Rango].[Observación].[All]" dimensionUniqueName="[Rango]" displayFolder="" count="0" memberValueDatatype="130" unbalanced="0"/>
    <cacheHierarchy uniqueName="[Rango].[Resposabilidad]" caption="Resposabilidad" attribute="1" defaultMemberUniqueName="[Rango].[Resposabilidad].[All]" allUniqueName="[Rango].[Resposabilidad].[All]" dimensionUniqueName="[Rango]" displayFolder="" count="0" memberValueDatatype="130" unbalanced="0"/>
    <cacheHierarchy uniqueName="[Rango].[Fecha de Solución]" caption="Fecha de Solución" attribute="1" defaultMemberUniqueName="[Rango].[Fecha de Solución].[All]" allUniqueName="[Rango].[Fecha de Solución].[All]" dimensionUniqueName="[Rango]" displayFolder="" count="0" memberValueDatatype="130" unbalanced="0"/>
    <cacheHierarchy uniqueName="[Rango].[Tiempo Total del Evento]" caption="Tiempo Total del Evento" attribute="1" defaultMemberUniqueName="[Rango].[Tiempo Total del Evento].[All]" allUniqueName="[Rango].[Tiempo Total del Evento].[All]" dimensionUniqueName="[Rango]" displayFolder="" count="0" memberValueDatatype="130" unbalanced="0"/>
    <cacheHierarchy uniqueName="[Rango].[Fecha de Inicio (mes)]" caption="Fecha de Inicio (mes)" attribute="1" defaultMemberUniqueName="[Rango].[Fecha de Inicio (mes)].[All]" allUniqueName="[Rango].[Fecha de Inicio (mes)].[All]" dimensionUniqueName="[Rango]" displayFolder="" count="2" memberValueDatatype="130" unbalanced="0"/>
    <cacheHierarchy uniqueName="[Rango 1].[10000500811]" caption="10000500811" attribute="1" defaultMemberUniqueName="[Rango 1].[10000500811].[All]" allUniqueName="[Rango 1].[10000500811].[All]" dimensionUniqueName="[Rango 1]" displayFolder="" count="0" memberValueDatatype="130" unbalanced="0"/>
    <cacheHierarchy uniqueName="[Rango 1].[CMPC-D-CEL-FORMIN-TEMUCO]" caption="CMPC-D-CEL-FORMIN-TEMUCO" attribute="1" defaultMemberUniqueName="[Rango 1].[CMPC-D-CEL-FORMIN-TEMUCO].[All]" allUniqueName="[Rango 1].[CMPC-D-CEL-FORMIN-TEMUCO].[All]" dimensionUniqueName="[Rango 1]" displayFolder="" count="0" memberValueDatatype="130" unbalanced="0"/>
    <cacheHierarchy uniqueName="[Rango 1].[CMPC-D-CEL-FORMIN-TEMUCO-FW-10000500811]" caption="CMPC-D-CEL-FORMIN-TEMUCO-FW-10000500811" attribute="1" defaultMemberUniqueName="[Rango 1].[CMPC-D-CEL-FORMIN-TEMUCO-FW-10000500811].[All]" allUniqueName="[Rango 1].[CMPC-D-CEL-FORMIN-TEMUCO-FW-10000500811].[All]" dimensionUniqueName="[Rango 1]" displayFolder="" count="0" memberValueDatatype="130" unbalanced="0"/>
    <cacheHierarchy uniqueName="[Rango 1].[164.77.188.58]" caption="164.77.188.58" attribute="1" defaultMemberUniqueName="[Rango 1].[164.77.188.58].[All]" allUniqueName="[Rango 1].[164.77.188.58].[All]" dimensionUniqueName="[Rango 1]" displayFolder="" count="0" memberValueDatatype="130" unbalanced="0"/>
    <cacheHierarchy uniqueName="[Rango 1].[#N/A]" caption="#N/A" attribute="1" defaultMemberUniqueName="[Rango 1].[#N/A].[All]" allUniqueName="[Rango 1].[#N/A].[All]" dimensionUniqueName="[Rango 1]" displayFolder="" count="0" memberValueDatatype="130" unbalanced="0"/>
    <cacheHierarchy uniqueName="[Rango 1].[FIREWALL]" caption="FIREWALL" attribute="1" defaultMemberUniqueName="[Rango 1].[FIREWALL].[All]" allUniqueName="[Rango 1].[FIREWALL].[All]" dimensionUniqueName="[Rango 1]" displayFolder="" count="0" memberValueDatatype="130" unbalanced="0"/>
    <cacheHierarchy uniqueName="[Rango].[Fecha de Inicio (índice de meses)]" caption="Fecha de Inicio (índice de meses)" attribute="1" defaultMemberUniqueName="[Rango].[Fecha de Inicio (índice de meses)].[All]" allUniqueName="[Rango].[Fecha de Inicio (índice de meses)].[All]" dimensionUniqueName="[Rango]" displayFolder="" count="0" memberValueDatatype="20" unbalanced="0" hidden="1"/>
    <cacheHierarchy uniqueName="[Measures].[__XL_Count Rango]" caption="__XL_Count Rango" measure="1" displayFolder="" measureGroup="Rango" count="0" hidden="1"/>
    <cacheHierarchy uniqueName="[Measures].[__XL_Count Rango 1]" caption="__XL_Count Rango 1" measure="1" displayFolder="" measureGroup="Rango 1" count="0" hidden="1"/>
    <cacheHierarchy uniqueName="[Measures].[__No measures defined]" caption="__No measures defined" measure="1" displayFolder="" count="0" hidden="1"/>
    <cacheHierarchy uniqueName="[Measures].[Recuento de Resposabilidad]" caption="Recuento de Resposabilidad" measure="1" displayFolder="" measureGroup="Rango" count="0" hidden="1">
      <extLst>
        <ext xmlns:x15="http://schemas.microsoft.com/office/spreadsheetml/2010/11/main" uri="{B97F6D7D-B522-45F9-BDA1-12C45D357490}">
          <x15:cacheHierarchy aggregatedColumn="10"/>
        </ext>
      </extLst>
    </cacheHierarchy>
    <cacheHierarchy uniqueName="[Measures].[Recuento de Equipo]" caption="Recue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istinto de Equipo]" caption="Recuento distinto de Equipo" measure="1" displayFolder="" measureGroup="Rango" count="0" hidden="1">
      <extLst>
        <ext xmlns:x15="http://schemas.microsoft.com/office/spreadsheetml/2010/11/main" uri="{B97F6D7D-B522-45F9-BDA1-12C45D357490}">
          <x15:cacheHierarchy aggregatedColumn="3"/>
        </ext>
      </extLst>
    </cacheHierarchy>
    <cacheHierarchy uniqueName="[Measures].[Recuento de 10000500811]" caption="Recuento de 10000500811" measure="1" displayFolder="" measureGroup="Rango 1" count="0" hidden="1">
      <extLst>
        <ext xmlns:x15="http://schemas.microsoft.com/office/spreadsheetml/2010/11/main" uri="{B97F6D7D-B522-45F9-BDA1-12C45D357490}">
          <x15:cacheHierarchy aggregatedColumn="14"/>
        </ext>
      </extLst>
    </cacheHierarchy>
    <cacheHierarchy uniqueName="[Measures].[Recuento de Observación]" caption="Recuento de Observación" measure="1" displayFolder="" measureGroup="Rango"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4136939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4CAA6-AAB5-405B-9F62-9B6DE7D31F39}" name="TablaDinámica17" cacheId="112"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2">
  <location ref="K3:Q23" firstHeaderRow="1" firstDataRow="2" firstDataCol="1"/>
  <pivotFields count="4">
    <pivotField axis="axisRow" allDrilled="1" subtotalTop="0" showAll="0" sortType="ascending" defaultSubtotal="0" defaultAttributeDrillState="1">
      <items count="8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llDrilled="1" subtotalTop="0" showAll="0" dataSourceSort="1" defaultSubtotal="0" defaultAttributeDrillState="1"/>
    <pivotField dataField="1" subtotalTop="0" showAll="0" defaultSubtotal="0"/>
  </pivotFields>
  <rowFields count="1">
    <field x="0"/>
  </rowFields>
  <rowItems count="19">
    <i>
      <x v="8"/>
    </i>
    <i>
      <x v="1"/>
    </i>
    <i>
      <x v="17"/>
    </i>
    <i>
      <x v="10"/>
    </i>
    <i>
      <x v="3"/>
    </i>
    <i>
      <x v="11"/>
    </i>
    <i>
      <x v="6"/>
    </i>
    <i>
      <x v="12"/>
    </i>
    <i>
      <x/>
    </i>
    <i>
      <x v="13"/>
    </i>
    <i>
      <x v="4"/>
    </i>
    <i>
      <x v="14"/>
    </i>
    <i>
      <x v="2"/>
    </i>
    <i>
      <x v="15"/>
    </i>
    <i>
      <x v="7"/>
    </i>
    <i>
      <x v="16"/>
    </i>
    <i>
      <x v="9"/>
    </i>
    <i>
      <x v="5"/>
    </i>
    <i t="grand">
      <x/>
    </i>
  </rowItems>
  <colFields count="1">
    <field x="1"/>
  </colFields>
  <colItems count="6">
    <i>
      <x/>
    </i>
    <i>
      <x v="1"/>
    </i>
    <i>
      <x v="2"/>
    </i>
    <i>
      <x v="3"/>
    </i>
    <i>
      <x v="4"/>
    </i>
    <i t="grand">
      <x/>
    </i>
  </colItems>
  <dataFields count="1">
    <dataField name="Recuento de Observación" fld="3" subtotal="count" baseField="0" baseItem="0"/>
  </dataFields>
  <chartFormats count="41">
    <chartFormat chart="1" format="38" series="1">
      <pivotArea type="data" outline="0" fieldPosition="0">
        <references count="2">
          <reference field="4294967294" count="1" selected="0">
            <x v="0"/>
          </reference>
          <reference field="1" count="1" selected="0">
            <x v="3"/>
          </reference>
        </references>
      </pivotArea>
    </chartFormat>
    <chartFormat chart="1" format="39" series="1">
      <pivotArea type="data" outline="0" fieldPosition="0">
        <references count="2">
          <reference field="4294967294" count="1" selected="0">
            <x v="0"/>
          </reference>
          <reference field="1" count="1" selected="0">
            <x v="27"/>
          </reference>
        </references>
      </pivotArea>
    </chartFormat>
    <chartFormat chart="1" format="40" series="1">
      <pivotArea type="data" outline="0" fieldPosition="0">
        <references count="2">
          <reference field="4294967294" count="1" selected="0">
            <x v="0"/>
          </reference>
          <reference field="1" count="1" selected="0">
            <x v="20"/>
          </reference>
        </references>
      </pivotArea>
    </chartFormat>
    <chartFormat chart="1" format="41" series="1">
      <pivotArea type="data" outline="0" fieldPosition="0">
        <references count="2">
          <reference field="4294967294" count="1" selected="0">
            <x v="0"/>
          </reference>
          <reference field="1" count="1" selected="0">
            <x v="21"/>
          </reference>
        </references>
      </pivotArea>
    </chartFormat>
    <chartFormat chart="1" format="42" series="1">
      <pivotArea type="data" outline="0" fieldPosition="0">
        <references count="2">
          <reference field="4294967294" count="1" selected="0">
            <x v="0"/>
          </reference>
          <reference field="1" count="1" selected="0">
            <x v="22"/>
          </reference>
        </references>
      </pivotArea>
    </chartFormat>
    <chartFormat chart="1" format="43" series="1">
      <pivotArea type="data" outline="0" fieldPosition="0">
        <references count="2">
          <reference field="4294967294" count="1" selected="0">
            <x v="0"/>
          </reference>
          <reference field="1" count="1" selected="0">
            <x v="23"/>
          </reference>
        </references>
      </pivotArea>
    </chartFormat>
    <chartFormat chart="1" format="44" series="1">
      <pivotArea type="data" outline="0" fieldPosition="0">
        <references count="2">
          <reference field="4294967294" count="1" selected="0">
            <x v="0"/>
          </reference>
          <reference field="1" count="1" selected="0">
            <x v="24"/>
          </reference>
        </references>
      </pivotArea>
    </chartFormat>
    <chartFormat chart="1" format="45" series="1">
      <pivotArea type="data" outline="0" fieldPosition="0">
        <references count="2">
          <reference field="4294967294" count="1" selected="0">
            <x v="0"/>
          </reference>
          <reference field="1" count="1" selected="0">
            <x v="26"/>
          </reference>
        </references>
      </pivotArea>
    </chartFormat>
    <chartFormat chart="1" format="46" series="1">
      <pivotArea type="data" outline="0" fieldPosition="0">
        <references count="2">
          <reference field="4294967294" count="1" selected="0">
            <x v="0"/>
          </reference>
          <reference field="1" count="1" selected="0">
            <x v="28"/>
          </reference>
        </references>
      </pivotArea>
    </chartFormat>
    <chartFormat chart="1" format="47" series="1">
      <pivotArea type="data" outline="0" fieldPosition="0">
        <references count="2">
          <reference field="4294967294" count="1" selected="0">
            <x v="0"/>
          </reference>
          <reference field="1" count="1" selected="0">
            <x v="29"/>
          </reference>
        </references>
      </pivotArea>
    </chartFormat>
    <chartFormat chart="1" format="48" series="1">
      <pivotArea type="data" outline="0" fieldPosition="0">
        <references count="2">
          <reference field="4294967294" count="1" selected="0">
            <x v="0"/>
          </reference>
          <reference field="1" count="1" selected="0">
            <x v="30"/>
          </reference>
        </references>
      </pivotArea>
    </chartFormat>
    <chartFormat chart="1" format="49" series="1">
      <pivotArea type="data" outline="0" fieldPosition="0">
        <references count="2">
          <reference field="4294967294" count="1" selected="0">
            <x v="0"/>
          </reference>
          <reference field="1" count="1" selected="0">
            <x v="35"/>
          </reference>
        </references>
      </pivotArea>
    </chartFormat>
    <chartFormat chart="1" format="50" series="1">
      <pivotArea type="data" outline="0" fieldPosition="0">
        <references count="2">
          <reference field="4294967294" count="1" selected="0">
            <x v="0"/>
          </reference>
          <reference field="1" count="1" selected="0">
            <x v="36"/>
          </reference>
        </references>
      </pivotArea>
    </chartFormat>
    <chartFormat chart="1" format="51" series="1">
      <pivotArea type="data" outline="0" fieldPosition="0">
        <references count="2">
          <reference field="4294967294" count="1" selected="0">
            <x v="0"/>
          </reference>
          <reference field="1" count="1" selected="0">
            <x v="37"/>
          </reference>
        </references>
      </pivotArea>
    </chartFormat>
    <chartFormat chart="1" format="52" series="1">
      <pivotArea type="data" outline="0" fieldPosition="0">
        <references count="2">
          <reference field="4294967294" count="1" selected="0">
            <x v="0"/>
          </reference>
          <reference field="1" count="1" selected="0">
            <x v="40"/>
          </reference>
        </references>
      </pivotArea>
    </chartFormat>
    <chartFormat chart="1" format="53" series="1">
      <pivotArea type="data" outline="0" fieldPosition="0">
        <references count="2">
          <reference field="4294967294" count="1" selected="0">
            <x v="0"/>
          </reference>
          <reference field="1" count="1" selected="0">
            <x v="17"/>
          </reference>
        </references>
      </pivotArea>
    </chartFormat>
    <chartFormat chart="1" format="54" series="1">
      <pivotArea type="data" outline="0" fieldPosition="0">
        <references count="2">
          <reference field="4294967294" count="1" selected="0">
            <x v="0"/>
          </reference>
          <reference field="1" count="1" selected="0">
            <x v="18"/>
          </reference>
        </references>
      </pivotArea>
    </chartFormat>
    <chartFormat chart="1" format="55" series="1">
      <pivotArea type="data" outline="0" fieldPosition="0">
        <references count="2">
          <reference field="4294967294" count="1" selected="0">
            <x v="0"/>
          </reference>
          <reference field="1" count="1" selected="0">
            <x v="19"/>
          </reference>
        </references>
      </pivotArea>
    </chartFormat>
    <chartFormat chart="1" format="56" series="1">
      <pivotArea type="data" outline="0" fieldPosition="0">
        <references count="2">
          <reference field="4294967294" count="1" selected="0">
            <x v="0"/>
          </reference>
          <reference field="1" count="1" selected="0">
            <x v="0"/>
          </reference>
        </references>
      </pivotArea>
    </chartFormat>
    <chartFormat chart="1" format="57" series="1">
      <pivotArea type="data" outline="0" fieldPosition="0">
        <references count="2">
          <reference field="4294967294" count="1" selected="0">
            <x v="0"/>
          </reference>
          <reference field="1" count="1" selected="0">
            <x v="34"/>
          </reference>
        </references>
      </pivotArea>
    </chartFormat>
    <chartFormat chart="1" format="58" series="1">
      <pivotArea type="data" outline="0" fieldPosition="0">
        <references count="2">
          <reference field="4294967294" count="1" selected="0">
            <x v="0"/>
          </reference>
          <reference field="1" count="1" selected="0">
            <x v="33"/>
          </reference>
        </references>
      </pivotArea>
    </chartFormat>
    <chartFormat chart="1" format="59" series="1">
      <pivotArea type="data" outline="0" fieldPosition="0">
        <references count="2">
          <reference field="4294967294" count="1" selected="0">
            <x v="0"/>
          </reference>
          <reference field="1" count="1" selected="0">
            <x v="31"/>
          </reference>
        </references>
      </pivotArea>
    </chartFormat>
    <chartFormat chart="1" format="60" series="1">
      <pivotArea type="data" outline="0" fieldPosition="0">
        <references count="2">
          <reference field="4294967294" count="1" selected="0">
            <x v="0"/>
          </reference>
          <reference field="1" count="1" selected="0">
            <x v="32"/>
          </reference>
        </references>
      </pivotArea>
    </chartFormat>
    <chartFormat chart="1" format="61" series="1">
      <pivotArea type="data" outline="0" fieldPosition="0">
        <references count="2">
          <reference field="4294967294" count="1" selected="0">
            <x v="0"/>
          </reference>
          <reference field="1" count="1" selected="0">
            <x v="12"/>
          </reference>
        </references>
      </pivotArea>
    </chartFormat>
    <chartFormat chart="1" format="62" series="1">
      <pivotArea type="data" outline="0" fieldPosition="0">
        <references count="2">
          <reference field="4294967294" count="1" selected="0">
            <x v="0"/>
          </reference>
          <reference field="1" count="1" selected="0">
            <x v="13"/>
          </reference>
        </references>
      </pivotArea>
    </chartFormat>
    <chartFormat chart="1" format="63" series="1">
      <pivotArea type="data" outline="0" fieldPosition="0">
        <references count="2">
          <reference field="4294967294" count="1" selected="0">
            <x v="0"/>
          </reference>
          <reference field="1" count="1" selected="0">
            <x v="14"/>
          </reference>
        </references>
      </pivotArea>
    </chartFormat>
    <chartFormat chart="1" format="64" series="1">
      <pivotArea type="data" outline="0" fieldPosition="0">
        <references count="2">
          <reference field="4294967294" count="1" selected="0">
            <x v="0"/>
          </reference>
          <reference field="1" count="1" selected="0">
            <x v="15"/>
          </reference>
        </references>
      </pivotArea>
    </chartFormat>
    <chartFormat chart="1" format="65" series="1">
      <pivotArea type="data" outline="0" fieldPosition="0">
        <references count="2">
          <reference field="4294967294" count="1" selected="0">
            <x v="0"/>
          </reference>
          <reference field="1" count="1" selected="0">
            <x v="16"/>
          </reference>
        </references>
      </pivotArea>
    </chartFormat>
    <chartFormat chart="1" format="66" series="1">
      <pivotArea type="data" outline="0" fieldPosition="0">
        <references count="2">
          <reference field="4294967294" count="1" selected="0">
            <x v="0"/>
          </reference>
          <reference field="1" count="1" selected="0">
            <x v="5"/>
          </reference>
        </references>
      </pivotArea>
    </chartFormat>
    <chartFormat chart="1" format="67" series="1">
      <pivotArea type="data" outline="0" fieldPosition="0">
        <references count="2">
          <reference field="4294967294" count="1" selected="0">
            <x v="0"/>
          </reference>
          <reference field="1" count="1" selected="0">
            <x v="6"/>
          </reference>
        </references>
      </pivotArea>
    </chartFormat>
    <chartFormat chart="1" format="68" series="1">
      <pivotArea type="data" outline="0" fieldPosition="0">
        <references count="2">
          <reference field="4294967294" count="1" selected="0">
            <x v="0"/>
          </reference>
          <reference field="1" count="1" selected="0">
            <x v="7"/>
          </reference>
        </references>
      </pivotArea>
    </chartFormat>
    <chartFormat chart="1" format="69" series="1">
      <pivotArea type="data" outline="0" fieldPosition="0">
        <references count="2">
          <reference field="4294967294" count="1" selected="0">
            <x v="0"/>
          </reference>
          <reference field="1" count="1" selected="0">
            <x v="8"/>
          </reference>
        </references>
      </pivotArea>
    </chartFormat>
    <chartFormat chart="1" format="70" series="1">
      <pivotArea type="data" outline="0" fieldPosition="0">
        <references count="2">
          <reference field="4294967294" count="1" selected="0">
            <x v="0"/>
          </reference>
          <reference field="1" count="1" selected="0">
            <x v="9"/>
          </reference>
        </references>
      </pivotArea>
    </chartFormat>
    <chartFormat chart="1" format="71" series="1">
      <pivotArea type="data" outline="0" fieldPosition="0">
        <references count="2">
          <reference field="4294967294" count="1" selected="0">
            <x v="0"/>
          </reference>
          <reference field="1" count="1" selected="0">
            <x v="10"/>
          </reference>
        </references>
      </pivotArea>
    </chartFormat>
    <chartFormat chart="1" format="72" series="1">
      <pivotArea type="data" outline="0" fieldPosition="0">
        <references count="2">
          <reference field="4294967294" count="1" selected="0">
            <x v="0"/>
          </reference>
          <reference field="1" count="1" selected="0">
            <x v="11"/>
          </reference>
        </references>
      </pivotArea>
    </chartFormat>
    <chartFormat chart="1" format="73" series="1">
      <pivotArea type="data" outline="0" fieldPosition="0">
        <references count="2">
          <reference field="4294967294" count="1" selected="0">
            <x v="0"/>
          </reference>
          <reference field="1" count="1" selected="0">
            <x v="38"/>
          </reference>
        </references>
      </pivotArea>
    </chartFormat>
    <chartFormat chart="1" format="74" series="1">
      <pivotArea type="data" outline="0" fieldPosition="0">
        <references count="2">
          <reference field="4294967294" count="1" selected="0">
            <x v="0"/>
          </reference>
          <reference field="1" count="1" selected="0">
            <x v="39"/>
          </reference>
        </references>
      </pivotArea>
    </chartFormat>
    <chartFormat chart="1" format="75" series="1">
      <pivotArea type="data" outline="0" fieldPosition="0">
        <references count="2">
          <reference field="4294967294" count="1" selected="0">
            <x v="0"/>
          </reference>
          <reference field="1" count="1" selected="0">
            <x v="25"/>
          </reference>
        </references>
      </pivotArea>
    </chartFormat>
    <chartFormat chart="1" format="76" series="1">
      <pivotArea type="data" outline="0" fieldPosition="0">
        <references count="2">
          <reference field="4294967294" count="1" selected="0">
            <x v="0"/>
          </reference>
          <reference field="1" count="1" selected="0">
            <x v="1"/>
          </reference>
        </references>
      </pivotArea>
    </chartFormat>
    <chartFormat chart="1" format="77" series="1">
      <pivotArea type="data" outline="0" fieldPosition="0">
        <references count="2">
          <reference field="4294967294" count="1" selected="0">
            <x v="0"/>
          </reference>
          <reference field="1" count="1" selected="0">
            <x v="2"/>
          </reference>
        </references>
      </pivotArea>
    </chartFormat>
    <chartFormat chart="1" format="78" series="1">
      <pivotArea type="data" outline="0" fieldPosition="0">
        <references count="2">
          <reference field="4294967294" count="1" selected="0">
            <x v="0"/>
          </reference>
          <reference field="1" count="1" selected="0">
            <x v="4"/>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o].[Fecha de Inicio (mes)].&amp;[oc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A$1:$M$1000">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7724D0-E381-4149-BE4A-F99C62D9457C}" name="TablaDinámica14" cacheId="1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H3:I8"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Recuento de Observación" fld="2"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4"/>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o].[Fecha de Inicio (mes)].&amp;[oc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A$1:$M$1000">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9561E-9A40-4CB3-A14B-5DB42995901F}" name="TablaDinámica13" cacheId="108"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
  <location ref="E8:F14" firstHeaderRow="1" firstDataRow="1" firstDataCol="1"/>
  <pivotFields count="2">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0"/>
  </rowFields>
  <rowItems count="6">
    <i>
      <x/>
    </i>
    <i>
      <x v="1"/>
    </i>
    <i>
      <x v="2"/>
    </i>
    <i>
      <x v="3"/>
    </i>
    <i>
      <x v="4"/>
    </i>
    <i t="grand">
      <x/>
    </i>
  </rowItems>
  <colItems count="1">
    <i/>
  </colItems>
  <dataFields count="1">
    <dataField name="Recuento de 10000500811"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rvicios CMPC_planillamaestra.xlsx]DATOS!$B$6:$G$182">
        <x15:activeTabTopLevelEntity name="[Rango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54DD38-105A-4719-830C-0F6886F547F6}" name="TablaDinámica12" cacheId="10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E3:F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Recuento de Resposabilidad" fld="1" subtotal="count" baseField="0" baseItem="0"/>
  </dataFields>
  <chartFormats count="3">
    <chartFormat chart="0" format="10"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o].[Fecha de Inicio (mes)].&amp;[oc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A$1:$M$1000">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E6BB77-6AD1-4B53-818F-BC22F8FCFF5D}" name="TablaDinámica8" cacheId="110"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B3:C22" firstHeaderRow="1" firstDataRow="1" firstDataCol="1"/>
  <pivotFields count="3">
    <pivotField axis="axisRow" allDrilled="1" subtotalTop="0" showAll="0" dataSourceSort="1" defaultSubtotal="0" defaultAttributeDrillState="1">
      <items count="8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Recuento distinto de Equipo" fld="1"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o].[Fecha de Inicio (mes)].&amp;[oc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A$1:$M$1000">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de_Inicio__mes" xr10:uid="{9BF1C85E-0939-464C-83AD-C2F2244DB0F0}" sourceName="[Rango].[Fecha de Inicio (mes)]">
  <pivotTables>
    <pivotTable tabId="9" name="TablaDinámica12"/>
    <pivotTable tabId="9" name="TablaDinámica8"/>
    <pivotTable tabId="9" name="TablaDinámica14"/>
    <pivotTable tabId="9" name="TablaDinámica17"/>
  </pivotTables>
  <data>
    <olap pivotCacheId="1413693921">
      <levels count="2">
        <level uniqueName="[Rango].[Fecha de Inicio (mes)].[(All)]" sourceCaption="(All)" count="0"/>
        <level uniqueName="[Rango].[Fecha de Inicio (mes)].[Fecha de Inicio (mes)]" sourceCaption="Fecha de Inicio (mes)" count="8">
          <ranges>
            <range startItem="0">
              <i n="[Rango].[Fecha de Inicio (mes)].&amp;[abr]" c="abr"/>
              <i n="[Rango].[Fecha de Inicio (mes)].&amp;[may]" c="may"/>
              <i n="[Rango].[Fecha de Inicio (mes)].&amp;[jun]" c="jun"/>
              <i n="[Rango].[Fecha de Inicio (mes)].&amp;[jul]" c="jul"/>
              <i n="[Rango].[Fecha de Inicio (mes)].&amp;[ago]" c="ago"/>
              <i n="[Rango].[Fecha de Inicio (mes)].&amp;[sept]" c="sept"/>
              <i n="[Rango].[Fecha de Inicio (mes)].&amp;[oct]" c="oct"/>
              <i n="[Rango].[Fecha de Inicio (mes)].&amp;[]" c="" nd="1"/>
            </range>
          </ranges>
        </level>
      </levels>
      <selections count="1">
        <selection n="[Rango].[Fecha de Inicio (mes)].&amp;[oc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 de Inicio (mes)" xr10:uid="{6D3535FA-B98A-46C8-BB3B-A1C04D87D2D4}" cache="SegmentaciónDeDatos_Fecha_de_Inicio__mes" caption="Fecha de Inicio (mes)" startItem="1" level="1" rowHeight="241300"/>
</slicer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2977-2896-436C-A1CF-A67913CB73E7}">
  <sheetPr codeName="Hoja6"/>
  <dimension ref="A1:L99"/>
  <sheetViews>
    <sheetView tabSelected="1" topLeftCell="B28" workbookViewId="0">
      <selection activeCell="E43" sqref="E43"/>
    </sheetView>
  </sheetViews>
  <sheetFormatPr baseColWidth="10" defaultRowHeight="15" customHeight="1" x14ac:dyDescent="0.25"/>
  <cols>
    <col min="1" max="1" width="15.42578125" style="77" bestFit="1" customWidth="1"/>
    <col min="2" max="2" width="17.85546875" style="77" bestFit="1" customWidth="1"/>
    <col min="3" max="3" width="12.42578125" style="77" bestFit="1" customWidth="1"/>
    <col min="4" max="4" width="57.42578125" style="77" bestFit="1" customWidth="1"/>
    <col min="5" max="5" width="13.7109375" style="77" bestFit="1" customWidth="1"/>
    <col min="6" max="6" width="15.85546875" style="77" bestFit="1" customWidth="1"/>
    <col min="7" max="7" width="23.5703125" style="77" bestFit="1" customWidth="1"/>
    <col min="8" max="8" width="45.7109375" style="77" customWidth="1"/>
    <col min="9" max="9" width="35.42578125" style="77" bestFit="1" customWidth="1"/>
    <col min="10" max="10" width="14.42578125" style="77" bestFit="1" customWidth="1"/>
    <col min="11" max="11" width="17" style="77" bestFit="1" customWidth="1"/>
    <col min="12" max="12" width="22.7109375" style="77" bestFit="1" customWidth="1"/>
    <col min="13" max="16384" width="11.42578125" style="77"/>
  </cols>
  <sheetData>
    <row r="1" spans="1:12" s="52" customFormat="1" ht="15" customHeight="1" x14ac:dyDescent="0.25">
      <c r="A1" s="48" t="s">
        <v>0</v>
      </c>
      <c r="B1" s="48" t="s">
        <v>726</v>
      </c>
      <c r="C1" s="49" t="s">
        <v>1</v>
      </c>
      <c r="D1" s="48" t="s">
        <v>824</v>
      </c>
      <c r="E1" s="48" t="s">
        <v>1051</v>
      </c>
      <c r="F1" s="48" t="s">
        <v>2</v>
      </c>
      <c r="G1" s="48" t="s">
        <v>727</v>
      </c>
      <c r="H1" s="48" t="s">
        <v>837</v>
      </c>
      <c r="I1" s="48" t="s">
        <v>838</v>
      </c>
      <c r="J1" s="48" t="s">
        <v>7</v>
      </c>
      <c r="K1" s="50" t="s">
        <v>3</v>
      </c>
      <c r="L1" s="51" t="s">
        <v>388</v>
      </c>
    </row>
    <row r="2" spans="1:12" s="54" customFormat="1" ht="15" customHeight="1" x14ac:dyDescent="0.25">
      <c r="A2" s="53">
        <v>46027.755555555559</v>
      </c>
      <c r="B2" s="54" t="s">
        <v>1191</v>
      </c>
      <c r="C2" s="55">
        <v>10000711182</v>
      </c>
      <c r="D2" s="56" t="str">
        <f>VLOOKUP(C2,[2]DATOS!$B$6:$D$1004,3,FALSE)</f>
        <v>CMPC-SOREPA-TALCA-10000711182</v>
      </c>
      <c r="E2" s="56" t="str">
        <f>VLOOKUP(C2,[2]DATOS!$B$6:$E$1004,4,FALSE)</f>
        <v>10.233.198.42</v>
      </c>
      <c r="F2" s="56" t="str">
        <f>VLOOKUP(C2,[2]DATOS!$B$6:$P$1002,15,FALSE)</f>
        <v>SOREPA</v>
      </c>
      <c r="G2" s="54" t="s">
        <v>1196</v>
      </c>
      <c r="H2" s="54" t="s">
        <v>1192</v>
      </c>
      <c r="I2" s="57" t="s">
        <v>833</v>
      </c>
      <c r="J2" s="57" t="s">
        <v>835</v>
      </c>
      <c r="K2" s="53">
        <v>46028.338194444441</v>
      </c>
      <c r="L2" s="58">
        <f>K2-A2</f>
        <v>0.58263888888177462</v>
      </c>
    </row>
    <row r="3" spans="1:12" s="60" customFormat="1" ht="15" customHeight="1" x14ac:dyDescent="0.25">
      <c r="A3" s="59">
        <v>46028.646041666667</v>
      </c>
      <c r="B3" s="60" t="s">
        <v>1193</v>
      </c>
      <c r="C3" s="60">
        <v>10000058781</v>
      </c>
      <c r="D3" s="61" t="str">
        <f>VLOOKUP(C3,[2]DATOS!$B$6:$D$1004,3,FALSE)</f>
        <v>CMPC-C-CEL-SANTA-FE-PRIN-10000058781-RESP-GTD</v>
      </c>
      <c r="E3" s="61" t="str">
        <f>VLOOKUP(C3,[2]DATOS!$B$6:$E$1004,4,FALSE)</f>
        <v>10.221.19.98</v>
      </c>
      <c r="F3" s="61" t="str">
        <f>VLOOKUP(C3,[2]DATOS!$B$6:$P$1002,15,FALSE)</f>
        <v>PULP</v>
      </c>
      <c r="G3" s="60" t="s">
        <v>1194</v>
      </c>
      <c r="H3" s="60" t="s">
        <v>1195</v>
      </c>
      <c r="I3" s="62" t="s">
        <v>834</v>
      </c>
      <c r="J3" s="62" t="s">
        <v>14</v>
      </c>
      <c r="K3" s="63">
        <v>46028.837824074071</v>
      </c>
      <c r="L3" s="64">
        <f>K3-A3</f>
        <v>0.19178240740438923</v>
      </c>
    </row>
    <row r="4" spans="1:12" s="66" customFormat="1" ht="15" customHeight="1" x14ac:dyDescent="0.25">
      <c r="A4" s="65">
        <v>46029.513715277775</v>
      </c>
      <c r="B4" s="66" t="s">
        <v>1197</v>
      </c>
      <c r="C4" s="66">
        <v>10000581653</v>
      </c>
      <c r="D4" s="67" t="str">
        <f>VLOOKUP(C4,[2]DATOS!$B$6:$D$1004,3,FALSE)</f>
        <v>CMPC-D-BIO-EDIPAC-TEMUCO-UPS-10000581653</v>
      </c>
      <c r="E4" s="67" t="str">
        <f>VLOOKUP(C4,[2]DATOS!$B$6:$E$1004,4,FALSE)</f>
        <v>10.236.111.62</v>
      </c>
      <c r="F4" s="67" t="str">
        <f>VLOOKUP(C4,[2]DATOS!$B$6:$P$1002,15,FALSE)</f>
        <v>EDIPAC</v>
      </c>
      <c r="G4" s="66" t="s">
        <v>1199</v>
      </c>
      <c r="H4" s="66" t="s">
        <v>1198</v>
      </c>
      <c r="I4" s="68" t="s">
        <v>975</v>
      </c>
      <c r="J4" s="68" t="s">
        <v>14</v>
      </c>
      <c r="K4" s="69">
        <v>46029.625324074077</v>
      </c>
      <c r="L4" s="70">
        <f>K4-A4</f>
        <v>0.11160879630187992</v>
      </c>
    </row>
    <row r="5" spans="1:12" s="54" customFormat="1" ht="15" customHeight="1" x14ac:dyDescent="0.25">
      <c r="A5" s="53">
        <v>46029.711111111108</v>
      </c>
      <c r="B5" s="54" t="s">
        <v>1191</v>
      </c>
      <c r="C5" s="55">
        <v>10000711182</v>
      </c>
      <c r="D5" s="56" t="str">
        <f>VLOOKUP(C5,[2]DATOS!$B$6:$D$1004,3,FALSE)</f>
        <v>CMPC-SOREPA-TALCA-10000711182</v>
      </c>
      <c r="E5" s="56" t="str">
        <f>VLOOKUP(C5,[2]DATOS!$B$6:$E$1004,4,FALSE)</f>
        <v>10.233.198.42</v>
      </c>
      <c r="F5" s="56" t="str">
        <f>VLOOKUP(C5,[2]DATOS!$B$6:$P$1002,15,FALSE)</f>
        <v>SOREPA</v>
      </c>
      <c r="G5" s="54" t="s">
        <v>1196</v>
      </c>
      <c r="H5" s="54" t="s">
        <v>1192</v>
      </c>
      <c r="I5" s="57" t="s">
        <v>833</v>
      </c>
      <c r="J5" s="57" t="s">
        <v>835</v>
      </c>
      <c r="K5" s="53">
        <v>46030.303472222222</v>
      </c>
      <c r="L5" s="58">
        <f>K5-A5</f>
        <v>0.59236111111385981</v>
      </c>
    </row>
    <row r="6" spans="1:12" s="60" customFormat="1" ht="15" customHeight="1" x14ac:dyDescent="0.25">
      <c r="A6" s="59">
        <v>46030.411828703705</v>
      </c>
      <c r="B6" s="60" t="s">
        <v>1200</v>
      </c>
      <c r="C6" s="60">
        <v>10000581655</v>
      </c>
      <c r="D6" s="61" t="str">
        <f>VLOOKUP(C6,[2]DATOS!$B$6:$D$1004,3,FALSE)</f>
        <v xml:space="preserve">CMPC-D-BIO-EDIPAC-CONCEPCION-UPS-10000581655 </v>
      </c>
      <c r="E6" s="61" t="str">
        <f>VLOOKUP(C6,[2]DATOS!$B$6:$E$1004,4,FALSE)</f>
        <v>10.234.179.30</v>
      </c>
      <c r="F6" s="61" t="str">
        <f>VLOOKUP(C6,[2]DATOS!$B$6:$P$1002,15,FALSE)</f>
        <v>EDIPAC</v>
      </c>
      <c r="G6" s="60" t="s">
        <v>759</v>
      </c>
      <c r="H6" s="60" t="s">
        <v>1201</v>
      </c>
      <c r="I6" s="62" t="s">
        <v>974</v>
      </c>
      <c r="J6" s="62" t="s">
        <v>14</v>
      </c>
      <c r="K6" s="63">
        <v>46034.663888888892</v>
      </c>
      <c r="L6" s="64">
        <f>K6-A6</f>
        <v>4.2520601851865649</v>
      </c>
    </row>
    <row r="7" spans="1:12" s="60" customFormat="1" ht="15" customHeight="1" x14ac:dyDescent="0.25">
      <c r="A7" s="59">
        <v>46030.63590277778</v>
      </c>
      <c r="B7" s="60" t="s">
        <v>1202</v>
      </c>
      <c r="C7" s="60">
        <v>6999100001</v>
      </c>
      <c r="D7" s="61" t="str">
        <f>VLOOKUP(C7,[2]DATOS!$B$6:$D$1004,3,FALSE)</f>
        <v>CMPC-D-BIO-SOREPA-PUDAHUEL-PRIN-6999100001-RESP-GTD</v>
      </c>
      <c r="E7" s="61" t="str">
        <f>VLOOKUP(C7,[2]DATOS!$B$6:$E$1004,4,FALSE)</f>
        <v>10.228.65.34</v>
      </c>
      <c r="F7" s="61" t="str">
        <f>VLOOKUP(C7,[2]DATOS!$B$6:$P$1002,15,FALSE)</f>
        <v>CORRUGADO</v>
      </c>
      <c r="G7" s="60" t="s">
        <v>759</v>
      </c>
      <c r="H7" s="60" t="s">
        <v>1203</v>
      </c>
      <c r="I7" s="62" t="s">
        <v>974</v>
      </c>
      <c r="J7" s="62" t="s">
        <v>14</v>
      </c>
      <c r="K7" s="59">
        <v>46031.627083333333</v>
      </c>
      <c r="L7" s="64">
        <f>K7-A7</f>
        <v>0.99118055555300089</v>
      </c>
    </row>
    <row r="8" spans="1:12" s="54" customFormat="1" ht="15" customHeight="1" x14ac:dyDescent="0.25">
      <c r="A8" s="53">
        <v>46030.745833333334</v>
      </c>
      <c r="B8" s="54" t="s">
        <v>1191</v>
      </c>
      <c r="C8" s="55">
        <v>10000711182</v>
      </c>
      <c r="D8" s="56" t="str">
        <f>VLOOKUP(C8,[2]DATOS!$B$6:$D$1004,3,FALSE)</f>
        <v>CMPC-SOREPA-TALCA-10000711182</v>
      </c>
      <c r="E8" s="56" t="str">
        <f>VLOOKUP(C8,[2]DATOS!$B$6:$E$1004,4,FALSE)</f>
        <v>10.233.198.42</v>
      </c>
      <c r="F8" s="56" t="str">
        <f>VLOOKUP(C8,[2]DATOS!$B$6:$P$1002,15,FALSE)</f>
        <v>SOREPA</v>
      </c>
      <c r="G8" s="54" t="s">
        <v>1196</v>
      </c>
      <c r="H8" s="54" t="s">
        <v>1192</v>
      </c>
      <c r="I8" s="57" t="s">
        <v>833</v>
      </c>
      <c r="J8" s="57" t="s">
        <v>835</v>
      </c>
      <c r="K8" s="53">
        <v>46031.302083333336</v>
      </c>
      <c r="L8" s="58">
        <f>K8-A8</f>
        <v>0.55625000000145519</v>
      </c>
    </row>
    <row r="9" spans="1:12" s="72" customFormat="1" ht="15" customHeight="1" x14ac:dyDescent="0.25">
      <c r="A9" s="71">
        <v>46031.52851851852</v>
      </c>
      <c r="B9" s="72" t="s">
        <v>1211</v>
      </c>
      <c r="C9" s="72">
        <v>10000569579</v>
      </c>
      <c r="D9" s="73" t="str">
        <f>VLOOKUP(C9,[2]DATOS!$B$6:$D$1004,3,FALSE)</f>
        <v>CMPC-C-BIO-EDIPAC-QUILICURA-UPS-10000569579</v>
      </c>
      <c r="E9" s="73" t="str">
        <f>VLOOKUP(C9,[2]DATOS!$B$6:$E$1004,4,FALSE)</f>
        <v>10.223.1.22</v>
      </c>
      <c r="F9" s="73" t="str">
        <f>VLOOKUP(C9,[2]DATOS!$B$6:$P$1002,15,FALSE)</f>
        <v>EDIPAC</v>
      </c>
      <c r="G9" s="72" t="s">
        <v>759</v>
      </c>
      <c r="H9" s="72" t="s">
        <v>1204</v>
      </c>
      <c r="I9" s="74" t="s">
        <v>974</v>
      </c>
      <c r="J9" s="74" t="s">
        <v>14</v>
      </c>
      <c r="L9" s="75">
        <f>K9-A9</f>
        <v>-46031.52851851852</v>
      </c>
    </row>
    <row r="10" spans="1:12" s="54" customFormat="1" ht="15" customHeight="1" x14ac:dyDescent="0.25">
      <c r="A10" s="76">
        <v>46033.653263888889</v>
      </c>
      <c r="B10" s="54" t="s">
        <v>1205</v>
      </c>
      <c r="C10" s="54">
        <v>10000138837</v>
      </c>
      <c r="D10" s="56" t="str">
        <f>VLOOKUP(C10,[2]DATOS!$B$6:$D$1004,3,FALSE)</f>
        <v>CMPC-PAPELES-EIRA-OSORNO-CORE-SW-10000138837</v>
      </c>
      <c r="E10" s="56" t="str">
        <f>VLOOKUP(C10,[2]DATOS!$B$6:$E$1004,4,FALSE)</f>
        <v>10.234.50.117</v>
      </c>
      <c r="F10" s="56" t="str">
        <f>VLOOKUP(C10,[2]DATOS!$B$6:$P$1002,15,FALSE)</f>
        <v>CORRUGADO</v>
      </c>
      <c r="G10" s="54" t="s">
        <v>1196</v>
      </c>
      <c r="H10" s="54" t="s">
        <v>1209</v>
      </c>
      <c r="I10" s="57" t="s">
        <v>993</v>
      </c>
      <c r="J10" s="57" t="s">
        <v>835</v>
      </c>
      <c r="K10" s="53">
        <v>46034.012499999997</v>
      </c>
      <c r="L10" s="58">
        <f>K10-A10</f>
        <v>0.359236111107748</v>
      </c>
    </row>
    <row r="11" spans="1:12" s="54" customFormat="1" ht="15" customHeight="1" x14ac:dyDescent="0.25">
      <c r="A11" s="76">
        <v>46033.673634259256</v>
      </c>
      <c r="B11" s="54" t="s">
        <v>1206</v>
      </c>
      <c r="C11" s="54">
        <v>10000372573</v>
      </c>
      <c r="D11" s="56" t="str">
        <f>VLOOKUP(C11,[2]DATOS!$B$6:$D$1004,3,FALSE)</f>
        <v>CMPC-PAPELES-EIRA-OSORNO-CONVERT-UPS-10000372573</v>
      </c>
      <c r="E11" s="56" t="str">
        <f>VLOOKUP(C11,[2]DATOS!$B$6:$E$1004,4,FALSE)</f>
        <v>10.235.87.251</v>
      </c>
      <c r="F11" s="56" t="str">
        <f>VLOOKUP(C11,[2]DATOS!$B$6:$P$1002,15,FALSE)</f>
        <v>CORRUGADO</v>
      </c>
      <c r="G11" s="54" t="s">
        <v>1196</v>
      </c>
      <c r="H11" s="54" t="s">
        <v>1209</v>
      </c>
      <c r="I11" s="57" t="s">
        <v>993</v>
      </c>
      <c r="J11" s="57" t="s">
        <v>835</v>
      </c>
      <c r="K11" s="53">
        <v>46034.012499999997</v>
      </c>
      <c r="L11" s="58">
        <f>K11-A11</f>
        <v>0.33886574074131204</v>
      </c>
    </row>
    <row r="12" spans="1:12" s="54" customFormat="1" ht="15" customHeight="1" x14ac:dyDescent="0.25">
      <c r="A12" s="76">
        <v>46033.676307870373</v>
      </c>
      <c r="B12" s="54" t="s">
        <v>1207</v>
      </c>
      <c r="C12" s="54">
        <v>10000372569</v>
      </c>
      <c r="D12" s="56" t="str">
        <f>VLOOKUP(C12,[2]DATOS!$B$6:$D$1004,3,FALSE)</f>
        <v>CMPC-PAPELES-EIRA-OSORNO-ENFARD-UPS-10000372569</v>
      </c>
      <c r="E12" s="56" t="str">
        <f>VLOOKUP(C12,[2]DATOS!$B$6:$E$1004,4,FALSE)</f>
        <v>10.235.87.254</v>
      </c>
      <c r="F12" s="56" t="str">
        <f>VLOOKUP(C12,[2]DATOS!$B$6:$P$1002,15,FALSE)</f>
        <v>CORRUGADO</v>
      </c>
      <c r="G12" s="54" t="s">
        <v>1196</v>
      </c>
      <c r="H12" s="54" t="s">
        <v>1209</v>
      </c>
      <c r="I12" s="57" t="s">
        <v>993</v>
      </c>
      <c r="J12" s="57" t="s">
        <v>835</v>
      </c>
      <c r="K12" s="53">
        <v>46034.012499942131</v>
      </c>
      <c r="L12" s="58">
        <f>K12-A12</f>
        <v>0.33619207175797783</v>
      </c>
    </row>
    <row r="13" spans="1:12" s="54" customFormat="1" ht="15" customHeight="1" x14ac:dyDescent="0.25">
      <c r="A13" s="76">
        <v>46033.833101851851</v>
      </c>
      <c r="B13" s="54" t="s">
        <v>1208</v>
      </c>
      <c r="C13" s="54">
        <v>10000569834</v>
      </c>
      <c r="D13" s="56" t="str">
        <f>VLOOKUP(C13,[2]DATOS!$B$6:$D$1004,3,FALSE)</f>
        <v>CMPC-PAPELES-EIRA-OSORNO-UPS-T3-10000569834</v>
      </c>
      <c r="E13" s="56" t="str">
        <f>VLOOKUP(C13,[2]DATOS!$B$6:$E$1004,4,FALSE)</f>
        <v>10.236.111.166</v>
      </c>
      <c r="F13" s="56" t="str">
        <f>VLOOKUP(C13,[2]DATOS!$B$6:$P$1002,15,FALSE)</f>
        <v>CORRUGADO</v>
      </c>
      <c r="G13" s="54" t="s">
        <v>1196</v>
      </c>
      <c r="H13" s="54" t="s">
        <v>1209</v>
      </c>
      <c r="I13" s="57" t="s">
        <v>993</v>
      </c>
      <c r="J13" s="57" t="s">
        <v>835</v>
      </c>
      <c r="K13" s="53">
        <v>46034.012499999997</v>
      </c>
      <c r="L13" s="58">
        <f>K13-A13</f>
        <v>0.17939814814599231</v>
      </c>
    </row>
    <row r="14" spans="1:12" s="60" customFormat="1" ht="15" customHeight="1" x14ac:dyDescent="0.25">
      <c r="A14" s="59">
        <v>46034.423298611109</v>
      </c>
      <c r="B14" s="60" t="s">
        <v>1210</v>
      </c>
      <c r="C14" s="60">
        <v>10000514345</v>
      </c>
      <c r="D14" s="61" t="str">
        <f>VLOOKUP(C14,[2]DATOS!$B$6:$D$1004,3,FALSE)</f>
        <v>CMPC-D-CEL-CAPITAN-PASTENE-UNIC-10000514345</v>
      </c>
      <c r="E14" s="61" t="str">
        <f>VLOOKUP(C14,[2]DATOS!$B$6:$E$1004,4,FALSE)</f>
        <v>10.236.65.210</v>
      </c>
      <c r="F14" s="61" t="str">
        <f>VLOOKUP(C14,[2]DATOS!$B$6:$P$1002,15,FALSE)</f>
        <v>FORESTAL</v>
      </c>
      <c r="G14" s="60" t="s">
        <v>1194</v>
      </c>
      <c r="H14" s="60" t="s">
        <v>1212</v>
      </c>
      <c r="I14" s="62" t="s">
        <v>834</v>
      </c>
      <c r="J14" s="62" t="s">
        <v>14</v>
      </c>
      <c r="K14" s="59">
        <v>46034.668749999997</v>
      </c>
      <c r="L14" s="64">
        <f>K14-A14</f>
        <v>0.24545138888788642</v>
      </c>
    </row>
    <row r="15" spans="1:12" s="66" customFormat="1" ht="15" customHeight="1" x14ac:dyDescent="0.25">
      <c r="A15" s="65">
        <v>46035.43105324074</v>
      </c>
      <c r="B15" s="66" t="s">
        <v>1213</v>
      </c>
      <c r="C15" s="66">
        <v>10000573525</v>
      </c>
      <c r="D15" s="66" t="e">
        <f>VLOOKUP(C15,[2]DATOS!$B$6:$D$1004,3,FALSE)</f>
        <v>#N/A</v>
      </c>
      <c r="E15" s="66" t="e">
        <f>VLOOKUP(C15,[2]DATOS!$B$6:$E$1004,4,FALSE)</f>
        <v>#N/A</v>
      </c>
      <c r="F15" s="66" t="e">
        <f>VLOOKUP(C15,[2]DATOS!$B$6:$P$1002,15,FALSE)</f>
        <v>#N/A</v>
      </c>
      <c r="G15" s="66" t="s">
        <v>1199</v>
      </c>
      <c r="H15" s="66" t="s">
        <v>1219</v>
      </c>
      <c r="I15" s="68" t="s">
        <v>974</v>
      </c>
      <c r="J15" s="66" t="s">
        <v>14</v>
      </c>
      <c r="K15" s="65">
        <v>46036.679166666669</v>
      </c>
      <c r="L15" s="70">
        <f>K15-A15</f>
        <v>1.2481134259287501</v>
      </c>
    </row>
    <row r="16" spans="1:12" s="60" customFormat="1" ht="15" customHeight="1" x14ac:dyDescent="0.25">
      <c r="A16" s="59">
        <v>46036.071689814817</v>
      </c>
      <c r="B16" s="60" t="s">
        <v>1214</v>
      </c>
      <c r="C16" s="60">
        <v>7853300001</v>
      </c>
      <c r="D16" s="60" t="str">
        <f>VLOOKUP(C16,[2]DATOS!$B$6:$D$1004,3,FALSE)</f>
        <v>CMPC-C-CEL-MADERAS-PLYWOOD-PRIN-7853300001-RESP-GTD</v>
      </c>
      <c r="E16" s="60" t="str">
        <f>VLOOKUP(C16,[2]DATOS!$B$6:$E$1004,4,FALSE)</f>
        <v>10.236.63.226</v>
      </c>
      <c r="F16" s="60" t="str">
        <f>VLOOKUP(C16,[2]DATOS!$B$6:$P$1002,15,FALSE)</f>
        <v>MADERAS</v>
      </c>
      <c r="G16" s="60" t="s">
        <v>759</v>
      </c>
      <c r="H16" s="60" t="s">
        <v>1217</v>
      </c>
      <c r="I16" s="62" t="s">
        <v>974</v>
      </c>
      <c r="J16" s="60" t="s">
        <v>14</v>
      </c>
      <c r="K16" s="59">
        <v>46036.121527777781</v>
      </c>
      <c r="L16" s="64">
        <f>K16-A16</f>
        <v>4.9837962964375038E-2</v>
      </c>
    </row>
    <row r="17" spans="1:12" s="60" customFormat="1" ht="15" customHeight="1" x14ac:dyDescent="0.25">
      <c r="A17" s="59">
        <v>46036.078750000001</v>
      </c>
      <c r="B17" s="60" t="s">
        <v>1215</v>
      </c>
      <c r="C17" s="60">
        <v>10000058627</v>
      </c>
      <c r="D17" s="60" t="str">
        <f>VLOOKUP(C17,[2]DATOS!$B$6:$D$1004,3,FALSE)</f>
        <v>CMPC-C-CEL-PACIFICO-PRIN-10000058627</v>
      </c>
      <c r="E17" s="60" t="str">
        <f>VLOOKUP(C17,[2]DATOS!$B$6:$E$1004,4,FALSE)</f>
        <v>10.221.19.102</v>
      </c>
      <c r="F17" s="60" t="str">
        <f>VLOOKUP(C17,[2]DATOS!$B$6:$P$1002,15,FALSE)</f>
        <v>PULP</v>
      </c>
      <c r="G17" s="60" t="s">
        <v>759</v>
      </c>
      <c r="H17" s="60" t="s">
        <v>1217</v>
      </c>
      <c r="I17" s="62" t="s">
        <v>974</v>
      </c>
      <c r="J17" s="60" t="s">
        <v>14</v>
      </c>
      <c r="K17" s="59">
        <v>46036.119444444441</v>
      </c>
      <c r="L17" s="64">
        <f>K17-A17</f>
        <v>4.0694444440305233E-2</v>
      </c>
    </row>
    <row r="18" spans="1:12" s="60" customFormat="1" ht="15" customHeight="1" x14ac:dyDescent="0.25">
      <c r="A18" s="59">
        <v>46036.089641203704</v>
      </c>
      <c r="B18" s="60" t="s">
        <v>1216</v>
      </c>
      <c r="C18" s="60">
        <v>7808270001</v>
      </c>
      <c r="D18" s="60" t="str">
        <f>VLOOKUP(C18,[2]DATOS!$B$6:$D$1004,3,FALSE)</f>
        <v>CMPC-D-CEL-FORMIN-CANETE-UNIC-7808270001</v>
      </c>
      <c r="E18" s="60" t="str">
        <f>VLOOKUP(C18,[2]DATOS!$B$6:$E$1004,4,FALSE)</f>
        <v>10.220.168.158</v>
      </c>
      <c r="F18" s="60" t="str">
        <f>VLOOKUP(C18,[2]DATOS!$B$6:$P$1002,15,FALSE)</f>
        <v>FORESTAL</v>
      </c>
      <c r="G18" s="60" t="s">
        <v>759</v>
      </c>
      <c r="H18" s="60" t="s">
        <v>1218</v>
      </c>
      <c r="I18" s="62" t="s">
        <v>834</v>
      </c>
      <c r="J18" s="60" t="s">
        <v>14</v>
      </c>
      <c r="K18" s="59">
        <v>46036.180555555555</v>
      </c>
      <c r="L18" s="64">
        <f>K18-A18</f>
        <v>9.0914351851097308E-2</v>
      </c>
    </row>
    <row r="19" spans="1:12" s="54" customFormat="1" ht="15" customHeight="1" x14ac:dyDescent="0.25">
      <c r="A19" s="76">
        <v>46037.440335648149</v>
      </c>
      <c r="B19" s="54" t="s">
        <v>1191</v>
      </c>
      <c r="C19" s="54">
        <v>10000009996</v>
      </c>
      <c r="D19" s="54" t="str">
        <f>VLOOKUP(C19,[2]DATOS!$B$6:$D$1004,3,FALSE)</f>
        <v>CMPC-D-CEL-MUNI-NACIMIENTO-CCULTURA-INTERNET-10000009996</v>
      </c>
      <c r="E19" s="54" t="str">
        <f>VLOOKUP(C19,[2]DATOS!$B$6:$E$1004,4,FALSE)</f>
        <v>192.168.47.58</v>
      </c>
      <c r="F19" s="54" t="str">
        <f>VLOOKUP(C19,[2]DATOS!$B$6:$P$1002,15,FALSE)</f>
        <v>PULP</v>
      </c>
      <c r="G19" s="54" t="s">
        <v>1196</v>
      </c>
      <c r="H19" s="54" t="s">
        <v>1220</v>
      </c>
      <c r="I19" s="57" t="s">
        <v>833</v>
      </c>
      <c r="J19" s="54" t="s">
        <v>14</v>
      </c>
      <c r="K19" s="76">
        <v>46037.78402777778</v>
      </c>
      <c r="L19" s="58">
        <f>K19-A19</f>
        <v>0.34369212963065365</v>
      </c>
    </row>
    <row r="20" spans="1:12" s="60" customFormat="1" ht="15" customHeight="1" x14ac:dyDescent="0.25">
      <c r="A20" s="59">
        <v>46040.741296296299</v>
      </c>
      <c r="B20" s="60" t="s">
        <v>1221</v>
      </c>
      <c r="C20" s="60">
        <v>7810530001</v>
      </c>
      <c r="D20" s="60" t="str">
        <f>VLOOKUP(C20,[2]DATOS!$B$6:$D$1004,3,FALSE)</f>
        <v>CMPC-C-CEL-PORTUARIA-LIRQUEN-PRIN-7810530001-RESP-GTD</v>
      </c>
      <c r="E20" s="60" t="str">
        <f>VLOOKUP(C20,[2]DATOS!$B$6:$E$1004,4,FALSE)</f>
        <v>10.220.168.222</v>
      </c>
      <c r="F20" s="60" t="str">
        <f>VLOOKUP(C20,[2]DATOS!$B$6:$P$1002,15,FALSE)</f>
        <v>CELULOSA</v>
      </c>
      <c r="G20" s="60" t="s">
        <v>759</v>
      </c>
      <c r="H20" s="60" t="s">
        <v>1222</v>
      </c>
      <c r="I20" s="62" t="s">
        <v>834</v>
      </c>
      <c r="J20" s="60" t="s">
        <v>14</v>
      </c>
      <c r="K20" s="59">
        <v>46041.433333333334</v>
      </c>
      <c r="L20" s="64">
        <f>K20-A20</f>
        <v>0.69203703703533392</v>
      </c>
    </row>
    <row r="21" spans="1:12" s="60" customFormat="1" ht="15" customHeight="1" x14ac:dyDescent="0.25">
      <c r="A21" s="59">
        <v>46040.872708333336</v>
      </c>
      <c r="B21" s="60" t="s">
        <v>1229</v>
      </c>
      <c r="C21" s="60">
        <v>10000058625</v>
      </c>
      <c r="D21" s="60" t="str">
        <f>VLOOKUP(C21,[2]DATOS!$B$6:$D$1004,3,FALSE)</f>
        <v>CMPC-C-CEL-LAJA-RESP-10000058625</v>
      </c>
      <c r="E21" s="60" t="str">
        <f>VLOOKUP(C21,[2]DATOS!$B$6:$E$1004,4,FALSE)</f>
        <v>10.221.19.106</v>
      </c>
      <c r="F21" s="60" t="str">
        <f>VLOOKUP(C21,[2]DATOS!$B$6:$P$1002,15,FALSE)</f>
        <v>CELULOSA</v>
      </c>
      <c r="G21" s="60" t="s">
        <v>1194</v>
      </c>
      <c r="H21" s="60" t="s">
        <v>1230</v>
      </c>
      <c r="I21" s="62" t="s">
        <v>974</v>
      </c>
      <c r="J21" s="60" t="s">
        <v>14</v>
      </c>
      <c r="K21" s="59">
        <v>46040.875</v>
      </c>
      <c r="L21" s="64">
        <f>K21-A21</f>
        <v>2.2916666639503092E-3</v>
      </c>
    </row>
    <row r="22" spans="1:12" s="60" customFormat="1" ht="15" customHeight="1" x14ac:dyDescent="0.25">
      <c r="A22" s="59">
        <v>46041.102175925924</v>
      </c>
      <c r="B22" s="60" t="s">
        <v>1227</v>
      </c>
      <c r="C22" s="60">
        <v>10000000824</v>
      </c>
      <c r="D22" s="60" t="str">
        <f>VLOOKUP(C22,[2]DATOS!$B$6:$D$1004,3,FALSE)</f>
        <v>CMPC-D-CEL-MADERAS-BUCALEMU-PRIN-10000000824-RESP-GTD</v>
      </c>
      <c r="E22" s="60" t="str">
        <f>VLOOKUP(C22,[2]DATOS!$B$6:$E$1004,4,FALSE)</f>
        <v>10.228.65.30</v>
      </c>
      <c r="F22" s="60" t="str">
        <f>VLOOKUP(C22,[2]DATOS!$B$6:$P$1002,15,FALSE)</f>
        <v>MADERAS</v>
      </c>
      <c r="G22" s="60" t="s">
        <v>759</v>
      </c>
      <c r="H22" s="60" t="s">
        <v>1228</v>
      </c>
      <c r="I22" s="62" t="s">
        <v>974</v>
      </c>
      <c r="J22" s="60" t="s">
        <v>14</v>
      </c>
      <c r="K22" s="59">
        <v>46041.107638888891</v>
      </c>
      <c r="L22" s="64">
        <f>K22-A22</f>
        <v>5.4629629667033441E-3</v>
      </c>
    </row>
    <row r="23" spans="1:12" s="60" customFormat="1" ht="15" customHeight="1" x14ac:dyDescent="0.25">
      <c r="A23" s="59">
        <v>46043.389513888891</v>
      </c>
      <c r="B23" s="60" t="s">
        <v>1223</v>
      </c>
      <c r="C23" s="60">
        <v>6963530001</v>
      </c>
      <c r="D23" s="60" t="str">
        <f>VLOOKUP(C23,[2]DATOS!$B$6:$D$1004,3,FALSE)</f>
        <v>CMPC-D-CEL-FORMIN-ANGOL-UNIC-6963530001</v>
      </c>
      <c r="E23" s="60" t="str">
        <f>VLOOKUP(C23,[2]DATOS!$B$6:$E$1004,4,FALSE)</f>
        <v>10.220.168.246</v>
      </c>
      <c r="F23" s="60" t="str">
        <f>VLOOKUP(C23,[2]DATOS!$B$6:$P$1002,15,FALSE)</f>
        <v>FORESTAL</v>
      </c>
      <c r="G23" s="60" t="s">
        <v>759</v>
      </c>
      <c r="H23" s="60" t="s">
        <v>1224</v>
      </c>
      <c r="I23" s="62" t="s">
        <v>834</v>
      </c>
      <c r="J23" s="60" t="s">
        <v>14</v>
      </c>
      <c r="K23" s="59">
        <v>46043.606944444444</v>
      </c>
      <c r="L23" s="64">
        <f>K23-A23</f>
        <v>0.21743055555270985</v>
      </c>
    </row>
    <row r="24" spans="1:12" s="60" customFormat="1" ht="15" customHeight="1" x14ac:dyDescent="0.25">
      <c r="A24" s="59">
        <v>46043.423854166664</v>
      </c>
      <c r="B24" s="60" t="s">
        <v>1225</v>
      </c>
      <c r="C24" s="60">
        <v>10000058781</v>
      </c>
      <c r="D24" s="60" t="str">
        <f>VLOOKUP(C24,[2]DATOS!$B$6:$D$1004,3,FALSE)</f>
        <v>CMPC-C-CEL-SANTA-FE-PRIN-10000058781-RESP-GTD</v>
      </c>
      <c r="E24" s="60" t="str">
        <f>VLOOKUP(C24,[2]DATOS!$B$6:$E$1004,4,FALSE)</f>
        <v>10.221.19.98</v>
      </c>
      <c r="F24" s="60" t="str">
        <f>VLOOKUP(C24,[2]DATOS!$B$6:$P$1002,15,FALSE)</f>
        <v>PULP</v>
      </c>
      <c r="G24" s="60" t="s">
        <v>1194</v>
      </c>
      <c r="H24" s="60" t="s">
        <v>1226</v>
      </c>
      <c r="I24" s="62" t="s">
        <v>834</v>
      </c>
      <c r="J24" s="60" t="s">
        <v>14</v>
      </c>
      <c r="K24" s="59">
        <v>46043.583333333336</v>
      </c>
      <c r="L24" s="64">
        <f>K24-A24</f>
        <v>0.15947916667209938</v>
      </c>
    </row>
    <row r="25" spans="1:12" s="60" customFormat="1" ht="15" customHeight="1" x14ac:dyDescent="0.25">
      <c r="A25" s="59">
        <v>46045.379050925927</v>
      </c>
      <c r="B25" s="60" t="s">
        <v>1232</v>
      </c>
      <c r="C25" s="60">
        <v>10000579902</v>
      </c>
      <c r="D25" s="60" t="str">
        <f>VLOOKUP(C25,[2]DATOS!$B$6:$D$1004,3,FALSE)</f>
        <v>CMPC-D-BIO-SOREPA-PTOMONTT-UPS-10000579902</v>
      </c>
      <c r="E25" s="60" t="str">
        <f>VLOOKUP(C25,[2]DATOS!$B$6:$E$1004,4,FALSE)</f>
        <v>10.234.179.22</v>
      </c>
      <c r="F25" s="60" t="str">
        <f>VLOOKUP(C25,[2]DATOS!$B$6:$P$1002,15,FALSE)</f>
        <v>CORRUGADO</v>
      </c>
      <c r="G25" s="60" t="s">
        <v>1199</v>
      </c>
      <c r="H25" s="60" t="s">
        <v>1231</v>
      </c>
      <c r="I25" s="62" t="s">
        <v>974</v>
      </c>
      <c r="J25" s="60" t="s">
        <v>14</v>
      </c>
      <c r="K25" s="59">
        <v>46045.548495370371</v>
      </c>
      <c r="L25" s="64">
        <f>K25-A25</f>
        <v>0.16944444444379769</v>
      </c>
    </row>
    <row r="26" spans="1:12" s="60" customFormat="1" ht="15" customHeight="1" x14ac:dyDescent="0.25">
      <c r="A26" s="59">
        <v>46045.824791666666</v>
      </c>
      <c r="B26" s="60" t="s">
        <v>1235</v>
      </c>
      <c r="C26" s="60">
        <v>6999100001</v>
      </c>
      <c r="D26" s="60" t="str">
        <f>VLOOKUP(C26,[2]DATOS!$B$6:$D$1004,3,FALSE)</f>
        <v>CMPC-D-BIO-SOREPA-PUDAHUEL-PRIN-6999100001-RESP-GTD</v>
      </c>
      <c r="E26" s="60" t="str">
        <f>VLOOKUP(C26,[2]DATOS!$B$6:$E$1004,4,FALSE)</f>
        <v>10.228.65.34</v>
      </c>
      <c r="F26" s="60" t="str">
        <f>VLOOKUP(C26,[2]DATOS!$B$6:$P$1002,15,FALSE)</f>
        <v>CORRUGADO</v>
      </c>
      <c r="G26" s="60" t="s">
        <v>759</v>
      </c>
      <c r="H26" s="60" t="s">
        <v>1236</v>
      </c>
      <c r="I26" s="62" t="s">
        <v>834</v>
      </c>
      <c r="J26" s="60" t="s">
        <v>14</v>
      </c>
      <c r="K26" s="59">
        <v>46048.817939814813</v>
      </c>
      <c r="L26" s="64">
        <f>K26-A26</f>
        <v>2.9931481481471565</v>
      </c>
    </row>
    <row r="27" spans="1:12" s="72" customFormat="1" ht="15" customHeight="1" x14ac:dyDescent="0.25">
      <c r="A27" s="59">
        <v>46047.242997685185</v>
      </c>
      <c r="B27" s="60" t="s">
        <v>1233</v>
      </c>
      <c r="C27" s="60">
        <v>10000058625</v>
      </c>
      <c r="D27" s="60" t="str">
        <f>VLOOKUP(C27,[2]DATOS!$B$6:$D$1004,3,FALSE)</f>
        <v>CMPC-C-CEL-LAJA-RESP-10000058625</v>
      </c>
      <c r="E27" s="60" t="str">
        <f>VLOOKUP(C27,[2]DATOS!$B$6:$E$1004,4,FALSE)</f>
        <v>10.221.19.106</v>
      </c>
      <c r="F27" s="60" t="str">
        <f>VLOOKUP(C27,[2]DATOS!$B$6:$P$1002,15,FALSE)</f>
        <v>CELULOSA</v>
      </c>
      <c r="G27" s="60" t="s">
        <v>759</v>
      </c>
      <c r="H27" s="60" t="s">
        <v>1234</v>
      </c>
      <c r="I27" s="62" t="s">
        <v>974</v>
      </c>
      <c r="J27" s="60" t="s">
        <v>14</v>
      </c>
      <c r="K27" s="59">
        <v>46047.260358796295</v>
      </c>
      <c r="L27" s="64">
        <f>K27-A27</f>
        <v>1.7361111109494232E-2</v>
      </c>
    </row>
    <row r="28" spans="1:12" s="60" customFormat="1" ht="15" customHeight="1" x14ac:dyDescent="0.25">
      <c r="A28" s="59">
        <v>46050.652094907404</v>
      </c>
      <c r="B28" s="60" t="s">
        <v>1237</v>
      </c>
      <c r="C28" s="60">
        <v>6935210001</v>
      </c>
      <c r="D28" s="60" t="str">
        <f>VLOOKUP(C28,[2]DATOS!$B$6:$D$1004,3,FALSE)</f>
        <v>CMPC-C-BIO-CARTULINAS-VALDIVIA-PRIN-6935210001-RESP-GTD</v>
      </c>
      <c r="E28" s="60" t="str">
        <f>VLOOKUP(C28,[2]DATOS!$B$6:$E$1004,4,FALSE)</f>
        <v>10.228.65.26</v>
      </c>
      <c r="F28" s="60" t="str">
        <f>VLOOKUP(C28,[2]DATOS!$B$6:$P$1002,15,FALSE)</f>
        <v>BOXBOARD</v>
      </c>
      <c r="G28" s="60" t="s">
        <v>759</v>
      </c>
      <c r="H28" s="60" t="s">
        <v>1238</v>
      </c>
      <c r="I28" s="62" t="s">
        <v>834</v>
      </c>
      <c r="J28" s="60" t="s">
        <v>14</v>
      </c>
      <c r="K28" s="59">
        <v>46050.72146990741</v>
      </c>
      <c r="L28" s="64">
        <f>K28-A28</f>
        <v>6.9375000006402843E-2</v>
      </c>
    </row>
    <row r="29" spans="1:12" s="60" customFormat="1" ht="15" customHeight="1" x14ac:dyDescent="0.25">
      <c r="A29" s="59">
        <v>46050.847175925926</v>
      </c>
      <c r="B29" s="60" t="s">
        <v>1239</v>
      </c>
      <c r="C29" s="60">
        <v>10000119172</v>
      </c>
      <c r="D29" s="60" t="str">
        <f>VLOOKUP(C29,[2]DATOS!$B$6:$D$1004,3,FALSE)</f>
        <v>CMPC-D-BIO-SOREPA-CHILLAN-UNIC-10000119172</v>
      </c>
      <c r="E29" s="60" t="str">
        <f>VLOOKUP(C29,[2]DATOS!$B$6:$E$1004,4,FALSE)</f>
        <v>10.220.168.42</v>
      </c>
      <c r="F29" s="60" t="str">
        <f>VLOOKUP(C29,[2]DATOS!$B$6:$P$1002,15,FALSE)</f>
        <v>CORRUGADO</v>
      </c>
      <c r="G29" s="60" t="s">
        <v>759</v>
      </c>
      <c r="H29" s="60" t="s">
        <v>1240</v>
      </c>
      <c r="I29" s="62" t="s">
        <v>974</v>
      </c>
      <c r="J29" s="60" t="s">
        <v>14</v>
      </c>
      <c r="K29" s="59">
        <v>46050.988194444442</v>
      </c>
      <c r="L29" s="64">
        <f>K29-A29</f>
        <v>0.14101851851592073</v>
      </c>
    </row>
    <row r="30" spans="1:12" s="54" customFormat="1" ht="15" customHeight="1" x14ac:dyDescent="0.25">
      <c r="A30" s="76">
        <v>46052.352731481478</v>
      </c>
      <c r="B30" s="54" t="s">
        <v>1191</v>
      </c>
      <c r="C30" s="54">
        <v>10000581462</v>
      </c>
      <c r="D30" s="54" t="str">
        <f>VLOOKUP(C30,[2]DATOS!$B$6:$D$1004,3,FALSE)</f>
        <v>CMPC-D-CEL-MADERAS-PAILLIHUE-VIVERO-CDOUGLAS-UPS-10000581462</v>
      </c>
      <c r="E30" s="54" t="str">
        <f>VLOOKUP(C30,[2]DATOS!$B$6:$E$1004,4,FALSE)</f>
        <v>10.236.111.246</v>
      </c>
      <c r="F30" s="54" t="str">
        <f>VLOOKUP(C30,[2]DATOS!$B$6:$P$1002,15,FALSE)</f>
        <v>MADERAS</v>
      </c>
      <c r="G30" s="54" t="s">
        <v>1196</v>
      </c>
      <c r="H30" s="54" t="s">
        <v>1241</v>
      </c>
      <c r="I30" s="57" t="s">
        <v>993</v>
      </c>
      <c r="J30" s="57" t="s">
        <v>835</v>
      </c>
      <c r="K30" s="76">
        <v>46052.590925925928</v>
      </c>
      <c r="L30" s="58">
        <f>K30-A30</f>
        <v>0.23819444444961846</v>
      </c>
    </row>
    <row r="31" spans="1:12" s="54" customFormat="1" ht="15" customHeight="1" x14ac:dyDescent="0.25">
      <c r="A31" s="76">
        <v>46052.352731481478</v>
      </c>
      <c r="B31" s="54" t="s">
        <v>1191</v>
      </c>
      <c r="C31" s="54">
        <v>10000606176</v>
      </c>
      <c r="D31" s="54" t="str">
        <f>VLOOKUP(C31,[2]DATOS!$B$6:$D$1004,3,FALSE)</f>
        <v>CMPC-D-CEL-MADERAS-PAILLIHUE-VIVERO-CDOUGLAS-CAE-CEN-10000606176</v>
      </c>
      <c r="E31" s="54" t="str">
        <f>VLOOKUP(C31,[2]DATOS!$B$6:$E$1004,4,FALSE)</f>
        <v xml:space="preserve">10.192.31.126  </v>
      </c>
      <c r="F31" s="54" t="str">
        <f>VLOOKUP(C31,[2]DATOS!$B$6:$P$1002,15,FALSE)</f>
        <v>MADERAS</v>
      </c>
      <c r="G31" s="54" t="s">
        <v>759</v>
      </c>
      <c r="H31" s="54" t="s">
        <v>1242</v>
      </c>
      <c r="I31" s="57" t="s">
        <v>993</v>
      </c>
      <c r="J31" s="57" t="s">
        <v>835</v>
      </c>
      <c r="K31" s="76">
        <v>46052.590925925928</v>
      </c>
      <c r="L31" s="58">
        <f>K31-A31</f>
        <v>0.23819444444961846</v>
      </c>
    </row>
    <row r="32" spans="1:12" s="72" customFormat="1" ht="15" customHeight="1" x14ac:dyDescent="0.25">
      <c r="A32" s="76">
        <v>46052.364537037036</v>
      </c>
      <c r="B32" s="54" t="s">
        <v>1191</v>
      </c>
      <c r="C32" s="54">
        <v>10000581433</v>
      </c>
      <c r="D32" s="54" t="str">
        <f>VLOOKUP(C32,[2]DATOS!$B$6:$D$1004,3,FALSE)</f>
        <v>CMPC-D-CEL-FORMIN-ANGOL-UPS-10000581433</v>
      </c>
      <c r="E32" s="54" t="str">
        <f>VLOOKUP(C32,[2]DATOS!$B$6:$E$1004,4,FALSE)</f>
        <v>10.236.111.190</v>
      </c>
      <c r="F32" s="54" t="str">
        <f>VLOOKUP(C32,[2]DATOS!$B$6:$P$1002,15,FALSE)</f>
        <v>FORESTAL</v>
      </c>
      <c r="G32" s="54" t="s">
        <v>1196</v>
      </c>
      <c r="H32" s="54" t="s">
        <v>1241</v>
      </c>
      <c r="I32" s="57" t="s">
        <v>993</v>
      </c>
      <c r="J32" s="57" t="s">
        <v>835</v>
      </c>
      <c r="K32" s="76">
        <v>46052.380509259259</v>
      </c>
      <c r="L32" s="58">
        <f>K32-A32</f>
        <v>1.5972222223354038E-2</v>
      </c>
    </row>
    <row r="33" spans="1:12" s="72" customFormat="1" ht="15" customHeight="1" x14ac:dyDescent="0.25">
      <c r="A33" s="76">
        <v>46052.364537037036</v>
      </c>
      <c r="B33" s="54" t="s">
        <v>1191</v>
      </c>
      <c r="C33" s="54">
        <v>10000581441</v>
      </c>
      <c r="D33" s="54" t="str">
        <f>VLOOKUP(C33,[2]DATOS!$B$6:$D$1004,3,FALSE)</f>
        <v>CMPC-D-CEL-CAPITAN-PASTENE-UPS-10000581441</v>
      </c>
      <c r="E33" s="54" t="str">
        <f>VLOOKUP(C33,[2]DATOS!$B$6:$E$1004,4,FALSE)</f>
        <v>10.234.178.142</v>
      </c>
      <c r="F33" s="54" t="str">
        <f>VLOOKUP(C33,[2]DATOS!$B$6:$P$1002,15,FALSE)</f>
        <v>FORESTAL</v>
      </c>
      <c r="G33" s="54" t="s">
        <v>1196</v>
      </c>
      <c r="H33" s="54" t="s">
        <v>1241</v>
      </c>
      <c r="I33" s="57" t="s">
        <v>993</v>
      </c>
      <c r="J33" s="57" t="s">
        <v>835</v>
      </c>
      <c r="K33" s="76">
        <v>46052.382592592592</v>
      </c>
      <c r="L33" s="58">
        <f>K33-A33</f>
        <v>1.8055555556202307E-2</v>
      </c>
    </row>
    <row r="34" spans="1:12" s="60" customFormat="1" ht="15" customHeight="1" x14ac:dyDescent="0.25">
      <c r="A34" s="59">
        <v>46052.370833333334</v>
      </c>
      <c r="B34" s="60" t="s">
        <v>1243</v>
      </c>
      <c r="C34" s="60">
        <v>7853300001</v>
      </c>
      <c r="D34" s="60" t="str">
        <f>VLOOKUP(C34,[2]DATOS!$B$6:$D$1004,3,FALSE)</f>
        <v>CMPC-C-CEL-MADERAS-PLYWOOD-PRIN-7853300001-RESP-GTD</v>
      </c>
      <c r="E34" s="60" t="str">
        <f>VLOOKUP(C34,[2]DATOS!$B$6:$E$1004,4,FALSE)</f>
        <v>10.236.63.226</v>
      </c>
      <c r="F34" s="60" t="str">
        <f>VLOOKUP(C34,[2]DATOS!$B$6:$P$1002,15,FALSE)</f>
        <v>MADERAS</v>
      </c>
      <c r="G34" s="60" t="s">
        <v>759</v>
      </c>
      <c r="H34" s="60" t="s">
        <v>1244</v>
      </c>
      <c r="I34" s="62" t="s">
        <v>834</v>
      </c>
      <c r="J34" s="62" t="s">
        <v>14</v>
      </c>
      <c r="K34" s="59">
        <v>46052.386064814818</v>
      </c>
      <c r="L34" s="64">
        <f>K34-A34</f>
        <v>1.5231481484079268E-2</v>
      </c>
    </row>
    <row r="35" spans="1:12" s="80" customFormat="1" ht="15" customHeight="1" x14ac:dyDescent="0.25">
      <c r="A35" s="85">
        <v>46054.298715277779</v>
      </c>
      <c r="B35" s="80" t="s">
        <v>1245</v>
      </c>
      <c r="C35" s="80">
        <v>10000100046</v>
      </c>
      <c r="D35" s="80" t="str">
        <f>VLOOKUP(C35,[2]DATOS!$B$6:$D$1004,3,FALSE)</f>
        <v>CMPC-PAPELES-EIRA-OSORNO-PRIN-T3-10000100046</v>
      </c>
      <c r="E35" s="80" t="str">
        <f>VLOOKUP(C35,[2]DATOS!$B$6:$E$1004,4,FALSE)</f>
        <v>10.221.19.154</v>
      </c>
      <c r="F35" s="80" t="str">
        <f>VLOOKUP(C35,[2]DATOS!$B$6:$P$1002,15,FALSE)</f>
        <v>CORRUGADO</v>
      </c>
      <c r="G35" s="80" t="s">
        <v>759</v>
      </c>
      <c r="H35" s="81" t="s">
        <v>1246</v>
      </c>
      <c r="I35" s="82" t="s">
        <v>993</v>
      </c>
      <c r="J35" s="82" t="s">
        <v>835</v>
      </c>
      <c r="K35" s="85">
        <v>46055.520138888889</v>
      </c>
      <c r="L35" s="83">
        <f>K35-A35</f>
        <v>1.2214236111103673</v>
      </c>
    </row>
    <row r="36" spans="1:12" s="80" customFormat="1" ht="15" customHeight="1" x14ac:dyDescent="0.25">
      <c r="A36" s="85">
        <v>46054.453356481485</v>
      </c>
      <c r="B36" s="80" t="s">
        <v>1247</v>
      </c>
      <c r="C36" s="80">
        <v>10000057950</v>
      </c>
      <c r="D36" s="80" t="str">
        <f>VLOOKUP(C36,[2]DATOS!$B$6:$D$1004,3,FALSE)</f>
        <v>CMPC-D-BIO-ENVASES-ROBLE-ALTO-BUIN-PRIN-10000057950-RESP-GTD</v>
      </c>
      <c r="E36" s="80" t="str">
        <f>VLOOKUP(C36,[2]DATOS!$B$6:$E$1004,4,FALSE)</f>
        <v>10.228.65.46</v>
      </c>
      <c r="F36" s="80" t="str">
        <f>VLOOKUP(C36,[2]DATOS!$B$6:$P$1002,15,FALSE)</f>
        <v>CORRUGADO</v>
      </c>
      <c r="G36" s="80" t="s">
        <v>759</v>
      </c>
      <c r="H36" s="81" t="s">
        <v>1248</v>
      </c>
      <c r="I36" s="82" t="s">
        <v>993</v>
      </c>
      <c r="J36" s="82" t="s">
        <v>835</v>
      </c>
      <c r="K36" s="85">
        <v>46055.343055555553</v>
      </c>
      <c r="L36" s="83">
        <f>K36-A36</f>
        <v>0.88969907406863058</v>
      </c>
    </row>
    <row r="37" spans="1:12" s="80" customFormat="1" ht="15" customHeight="1" x14ac:dyDescent="0.25">
      <c r="A37" s="85">
        <v>46054.493680555555</v>
      </c>
      <c r="B37" s="80" t="s">
        <v>1249</v>
      </c>
      <c r="C37" s="80">
        <v>10000569834</v>
      </c>
      <c r="D37" s="80" t="str">
        <f>VLOOKUP(C37,[2]DATOS!$B$6:$D$1004,3,FALSE)</f>
        <v>CMPC-PAPELES-EIRA-OSORNO-UPS-T3-10000569834</v>
      </c>
      <c r="E37" s="80" t="str">
        <f>VLOOKUP(C37,[2]DATOS!$B$6:$E$1004,4,FALSE)</f>
        <v>10.236.111.166</v>
      </c>
      <c r="F37" s="80" t="str">
        <f>VLOOKUP(C37,[2]DATOS!$B$6:$P$1002,15,FALSE)</f>
        <v>CORRUGADO</v>
      </c>
      <c r="G37" s="80" t="s">
        <v>759</v>
      </c>
      <c r="H37" s="81" t="s">
        <v>1246</v>
      </c>
      <c r="I37" s="82" t="s">
        <v>993</v>
      </c>
      <c r="J37" s="82" t="s">
        <v>835</v>
      </c>
      <c r="K37" s="85">
        <v>46055.520138888889</v>
      </c>
      <c r="L37" s="83">
        <f>K37-A37</f>
        <v>1.0264583333337214</v>
      </c>
    </row>
    <row r="38" spans="1:12" s="80" customFormat="1" ht="15" customHeight="1" x14ac:dyDescent="0.25">
      <c r="A38" s="85">
        <v>46054.841608796298</v>
      </c>
      <c r="B38" s="80" t="s">
        <v>1250</v>
      </c>
      <c r="C38" s="80">
        <v>10000058625</v>
      </c>
      <c r="D38" s="80" t="str">
        <f>VLOOKUP(C38,[2]DATOS!$B$6:$D$1004,3,FALSE)</f>
        <v>CMPC-C-CEL-LAJA-RESP-10000058625</v>
      </c>
      <c r="E38" s="80" t="str">
        <f>VLOOKUP(C38,[2]DATOS!$B$6:$E$1004,4,FALSE)</f>
        <v>10.221.19.106</v>
      </c>
      <c r="F38" s="80" t="str">
        <f>VLOOKUP(C38,[2]DATOS!$B$6:$P$1002,15,FALSE)</f>
        <v>CELULOSA</v>
      </c>
      <c r="G38" s="80" t="s">
        <v>759</v>
      </c>
      <c r="H38" s="81" t="s">
        <v>1251</v>
      </c>
      <c r="I38" s="82" t="s">
        <v>993</v>
      </c>
      <c r="J38" s="82" t="s">
        <v>835</v>
      </c>
      <c r="K38" s="85">
        <v>46054.854166666664</v>
      </c>
      <c r="L38" s="83">
        <f>K38-A38</f>
        <v>1.2557870366435964E-2</v>
      </c>
    </row>
    <row r="39" spans="1:12" s="80" customFormat="1" ht="15" customHeight="1" x14ac:dyDescent="0.25">
      <c r="A39" s="85">
        <v>46055.467303240737</v>
      </c>
      <c r="B39" s="80" t="s">
        <v>1191</v>
      </c>
      <c r="C39" s="80">
        <v>10000119172</v>
      </c>
      <c r="D39" s="80" t="str">
        <f>VLOOKUP(C39,[2]DATOS!$B$6:$D$1004,3,FALSE)</f>
        <v>CMPC-D-BIO-SOREPA-CHILLAN-UNIC-10000119172</v>
      </c>
      <c r="E39" s="80" t="str">
        <f>VLOOKUP(C39,[2]DATOS!$B$6:$E$1004,4,FALSE)</f>
        <v>10.220.168.42</v>
      </c>
      <c r="F39" s="80" t="str">
        <f>VLOOKUP(C39,[2]DATOS!$B$6:$P$1002,15,FALSE)</f>
        <v>CORRUGADO</v>
      </c>
      <c r="G39" s="80" t="s">
        <v>759</v>
      </c>
      <c r="H39" s="81" t="s">
        <v>1251</v>
      </c>
      <c r="I39" s="82" t="s">
        <v>993</v>
      </c>
      <c r="J39" s="82" t="s">
        <v>835</v>
      </c>
      <c r="K39" s="85">
        <v>46055.493750000001</v>
      </c>
      <c r="L39" s="83">
        <f>K39-A39</f>
        <v>2.644675926421769E-2</v>
      </c>
    </row>
    <row r="40" spans="1:12" s="60" customFormat="1" ht="15" customHeight="1" x14ac:dyDescent="0.25">
      <c r="A40" s="59">
        <v>46055.715752314813</v>
      </c>
      <c r="B40" s="60" t="s">
        <v>1252</v>
      </c>
      <c r="C40" s="60">
        <v>7853300001</v>
      </c>
      <c r="D40" s="60" t="str">
        <f>VLOOKUP(C40,[2]DATOS!$B$6:$D$1004,3,FALSE)</f>
        <v>CMPC-C-CEL-MADERAS-PLYWOOD-PRIN-7853300001-RESP-GTD</v>
      </c>
      <c r="E40" s="60" t="str">
        <f>VLOOKUP(C40,[2]DATOS!$B$6:$E$1004,4,FALSE)</f>
        <v>10.236.63.226</v>
      </c>
      <c r="F40" s="60" t="str">
        <f>VLOOKUP(C40,[2]DATOS!$B$6:$P$1002,15,FALSE)</f>
        <v>MADERAS</v>
      </c>
      <c r="G40" s="60" t="s">
        <v>759</v>
      </c>
      <c r="H40" s="78" t="s">
        <v>1253</v>
      </c>
      <c r="I40" s="62" t="s">
        <v>974</v>
      </c>
      <c r="J40" s="62" t="s">
        <v>14</v>
      </c>
      <c r="K40" s="59">
        <v>46055.825694444444</v>
      </c>
      <c r="L40" s="64">
        <f>K40-A40</f>
        <v>0.10994212963123573</v>
      </c>
    </row>
    <row r="41" spans="1:12" s="72" customFormat="1" ht="15" customHeight="1" x14ac:dyDescent="0.25">
      <c r="A41" s="71">
        <v>46056.561863425923</v>
      </c>
      <c r="B41" s="72" t="s">
        <v>1254</v>
      </c>
      <c r="C41" s="72">
        <v>7853300001</v>
      </c>
      <c r="D41" s="72" t="str">
        <f>VLOOKUP(C41,[2]DATOS!$B$6:$D$1004,3,FALSE)</f>
        <v>CMPC-C-CEL-MADERAS-PLYWOOD-PRIN-7853300001-RESP-GTD</v>
      </c>
      <c r="E41" s="72" t="str">
        <f>VLOOKUP(C41,[2]DATOS!$B$6:$E$1004,4,FALSE)</f>
        <v>10.236.63.226</v>
      </c>
      <c r="F41" s="72" t="str">
        <f>VLOOKUP(C41,[2]DATOS!$B$6:$P$1002,15,FALSE)</f>
        <v>MADERAS</v>
      </c>
      <c r="G41" s="72" t="s">
        <v>759</v>
      </c>
      <c r="H41" s="86"/>
      <c r="I41" s="74" t="s">
        <v>974</v>
      </c>
      <c r="J41" s="74" t="s">
        <v>14</v>
      </c>
      <c r="L41" s="75">
        <f>K41-A41</f>
        <v>-46056.561863425923</v>
      </c>
    </row>
    <row r="42" spans="1:12" s="72" customFormat="1" ht="15" customHeight="1" x14ac:dyDescent="0.25">
      <c r="A42" s="71">
        <v>46056.56689814815</v>
      </c>
      <c r="B42" s="72" t="s">
        <v>1255</v>
      </c>
      <c r="C42" s="72">
        <v>10000058627</v>
      </c>
      <c r="D42" s="72" t="str">
        <f>VLOOKUP(C42,[2]DATOS!$B$6:$D$1004,3,FALSE)</f>
        <v>CMPC-C-CEL-PACIFICO-PRIN-10000058627</v>
      </c>
      <c r="E42" s="72" t="str">
        <f>VLOOKUP(C42,[2]DATOS!$B$6:$E$1004,4,FALSE)</f>
        <v>10.221.19.102</v>
      </c>
      <c r="F42" s="72" t="str">
        <f>VLOOKUP(C42,[2]DATOS!$B$6:$P$1002,15,FALSE)</f>
        <v>PULP</v>
      </c>
      <c r="G42" s="72" t="s">
        <v>759</v>
      </c>
      <c r="H42" s="86"/>
      <c r="I42" s="74" t="s">
        <v>974</v>
      </c>
      <c r="J42" s="74" t="s">
        <v>14</v>
      </c>
      <c r="L42" s="75">
        <f>K42-A42</f>
        <v>-46056.56689814815</v>
      </c>
    </row>
    <row r="43" spans="1:12" s="72" customFormat="1" ht="15" customHeight="1" x14ac:dyDescent="0.25">
      <c r="A43" s="71">
        <v>46056.574849537035</v>
      </c>
      <c r="B43" s="72" t="s">
        <v>1256</v>
      </c>
      <c r="C43" s="72">
        <v>10000000824</v>
      </c>
      <c r="D43" s="72" t="str">
        <f>VLOOKUP(C43,[2]DATOS!$B$6:$D$1004,3,FALSE)</f>
        <v>CMPC-D-CEL-MADERAS-BUCALEMU-PRIN-10000000824-RESP-GTD</v>
      </c>
      <c r="E43" s="72" t="str">
        <f>VLOOKUP(C43,[2]DATOS!$B$6:$E$1004,4,FALSE)</f>
        <v>10.228.65.30</v>
      </c>
      <c r="F43" s="72" t="str">
        <f>VLOOKUP(C43,[2]DATOS!$B$6:$P$1002,15,FALSE)</f>
        <v>MADERAS</v>
      </c>
      <c r="G43" s="72" t="s">
        <v>759</v>
      </c>
      <c r="H43" s="86" t="s">
        <v>1257</v>
      </c>
      <c r="I43" s="74" t="s">
        <v>834</v>
      </c>
      <c r="J43" s="74" t="s">
        <v>14</v>
      </c>
      <c r="L43" s="75">
        <f>K43-A43</f>
        <v>-46056.574849537035</v>
      </c>
    </row>
    <row r="44" spans="1:12" ht="15" customHeight="1" x14ac:dyDescent="0.25">
      <c r="L44" s="84">
        <f>K44-A44</f>
        <v>0</v>
      </c>
    </row>
    <row r="45" spans="1:12" ht="15" customHeight="1" x14ac:dyDescent="0.25">
      <c r="L45" s="79">
        <f>K45-A45</f>
        <v>0</v>
      </c>
    </row>
    <row r="46" spans="1:12" ht="15" customHeight="1" x14ac:dyDescent="0.25">
      <c r="L46" s="79">
        <f>K46-A46</f>
        <v>0</v>
      </c>
    </row>
    <row r="47" spans="1:12" ht="15" customHeight="1" x14ac:dyDescent="0.25">
      <c r="L47" s="79">
        <f>K47-A47</f>
        <v>0</v>
      </c>
    </row>
    <row r="48" spans="1:12" ht="15" customHeight="1" x14ac:dyDescent="0.25">
      <c r="L48" s="79">
        <f>K48-A48</f>
        <v>0</v>
      </c>
    </row>
    <row r="49" spans="12:12" ht="15" customHeight="1" x14ac:dyDescent="0.25">
      <c r="L49" s="79">
        <f>K49-A49</f>
        <v>0</v>
      </c>
    </row>
    <row r="50" spans="12:12" ht="15" customHeight="1" x14ac:dyDescent="0.25">
      <c r="L50" s="79">
        <f>K50-A50</f>
        <v>0</v>
      </c>
    </row>
    <row r="51" spans="12:12" ht="15" customHeight="1" x14ac:dyDescent="0.25">
      <c r="L51" s="79">
        <f>K51-A51</f>
        <v>0</v>
      </c>
    </row>
    <row r="52" spans="12:12" ht="15" customHeight="1" x14ac:dyDescent="0.25">
      <c r="L52" s="79">
        <f>K52-A52</f>
        <v>0</v>
      </c>
    </row>
    <row r="53" spans="12:12" ht="15" customHeight="1" x14ac:dyDescent="0.25">
      <c r="L53" s="79">
        <f>K53-A53</f>
        <v>0</v>
      </c>
    </row>
    <row r="54" spans="12:12" ht="15" customHeight="1" x14ac:dyDescent="0.25">
      <c r="L54" s="79">
        <f>K54-A54</f>
        <v>0</v>
      </c>
    </row>
    <row r="55" spans="12:12" ht="15" customHeight="1" x14ac:dyDescent="0.25">
      <c r="L55" s="79">
        <f>K55-A55</f>
        <v>0</v>
      </c>
    </row>
    <row r="56" spans="12:12" ht="15" customHeight="1" x14ac:dyDescent="0.25">
      <c r="L56" s="79">
        <f>K56-A56</f>
        <v>0</v>
      </c>
    </row>
    <row r="57" spans="12:12" ht="15" customHeight="1" x14ac:dyDescent="0.25">
      <c r="L57" s="79">
        <f>K57-A57</f>
        <v>0</v>
      </c>
    </row>
    <row r="58" spans="12:12" ht="15" customHeight="1" x14ac:dyDescent="0.25">
      <c r="L58" s="79">
        <f>K58-A58</f>
        <v>0</v>
      </c>
    </row>
    <row r="59" spans="12:12" ht="15" customHeight="1" x14ac:dyDescent="0.25">
      <c r="L59" s="79">
        <f>K59-A59</f>
        <v>0</v>
      </c>
    </row>
    <row r="60" spans="12:12" ht="15" customHeight="1" x14ac:dyDescent="0.25">
      <c r="L60" s="79">
        <f>K60-A60</f>
        <v>0</v>
      </c>
    </row>
    <row r="61" spans="12:12" ht="15" customHeight="1" x14ac:dyDescent="0.25">
      <c r="L61" s="79">
        <f>K61-A61</f>
        <v>0</v>
      </c>
    </row>
    <row r="62" spans="12:12" ht="15" customHeight="1" x14ac:dyDescent="0.25">
      <c r="L62" s="79">
        <f>K62-A62</f>
        <v>0</v>
      </c>
    </row>
    <row r="63" spans="12:12" ht="15" customHeight="1" x14ac:dyDescent="0.25">
      <c r="L63" s="79">
        <f>K63-A63</f>
        <v>0</v>
      </c>
    </row>
    <row r="64" spans="12:12" ht="15" customHeight="1" x14ac:dyDescent="0.25">
      <c r="L64" s="79">
        <f>K64-A64</f>
        <v>0</v>
      </c>
    </row>
    <row r="65" spans="12:12" ht="15" customHeight="1" x14ac:dyDescent="0.25">
      <c r="L65" s="79">
        <f>K65-A65</f>
        <v>0</v>
      </c>
    </row>
    <row r="66" spans="12:12" ht="15" customHeight="1" x14ac:dyDescent="0.25">
      <c r="L66" s="79">
        <f>K66-A66</f>
        <v>0</v>
      </c>
    </row>
    <row r="67" spans="12:12" ht="15" customHeight="1" x14ac:dyDescent="0.25">
      <c r="L67" s="79">
        <f>K67-A67</f>
        <v>0</v>
      </c>
    </row>
    <row r="68" spans="12:12" ht="15" customHeight="1" x14ac:dyDescent="0.25">
      <c r="L68" s="79">
        <f>K68-A68</f>
        <v>0</v>
      </c>
    </row>
    <row r="69" spans="12:12" ht="15" customHeight="1" x14ac:dyDescent="0.25">
      <c r="L69" s="79">
        <f>K69-A69</f>
        <v>0</v>
      </c>
    </row>
    <row r="70" spans="12:12" ht="15" customHeight="1" x14ac:dyDescent="0.25">
      <c r="L70" s="79">
        <f>K70-A70</f>
        <v>0</v>
      </c>
    </row>
    <row r="71" spans="12:12" ht="15" customHeight="1" x14ac:dyDescent="0.25">
      <c r="L71" s="79">
        <f>K71-A71</f>
        <v>0</v>
      </c>
    </row>
    <row r="72" spans="12:12" ht="15" customHeight="1" x14ac:dyDescent="0.25">
      <c r="L72" s="79">
        <f>K72-A72</f>
        <v>0</v>
      </c>
    </row>
    <row r="73" spans="12:12" ht="15" customHeight="1" x14ac:dyDescent="0.25">
      <c r="L73" s="79">
        <f>K73-A73</f>
        <v>0</v>
      </c>
    </row>
    <row r="74" spans="12:12" ht="15" customHeight="1" x14ac:dyDescent="0.25">
      <c r="L74" s="79">
        <f>K74-A74</f>
        <v>0</v>
      </c>
    </row>
    <row r="75" spans="12:12" ht="15" customHeight="1" x14ac:dyDescent="0.25">
      <c r="L75" s="79">
        <f>K75-A75</f>
        <v>0</v>
      </c>
    </row>
    <row r="76" spans="12:12" ht="15" customHeight="1" x14ac:dyDescent="0.25">
      <c r="L76" s="79">
        <f>K76-A76</f>
        <v>0</v>
      </c>
    </row>
    <row r="77" spans="12:12" ht="15" customHeight="1" x14ac:dyDescent="0.25">
      <c r="L77" s="79">
        <f>K77-A77</f>
        <v>0</v>
      </c>
    </row>
    <row r="78" spans="12:12" ht="15" customHeight="1" x14ac:dyDescent="0.25">
      <c r="L78" s="79">
        <f>K78-A78</f>
        <v>0</v>
      </c>
    </row>
    <row r="79" spans="12:12" ht="15" customHeight="1" x14ac:dyDescent="0.25">
      <c r="L79" s="79">
        <f>K79-A79</f>
        <v>0</v>
      </c>
    </row>
    <row r="80" spans="12:12" ht="15" customHeight="1" x14ac:dyDescent="0.25">
      <c r="L80" s="79">
        <f>K80-A80</f>
        <v>0</v>
      </c>
    </row>
    <row r="81" spans="12:12" ht="15" customHeight="1" x14ac:dyDescent="0.25">
      <c r="L81" s="79">
        <f>K81-A81</f>
        <v>0</v>
      </c>
    </row>
    <row r="82" spans="12:12" ht="15" customHeight="1" x14ac:dyDescent="0.25">
      <c r="L82" s="79">
        <f>K82-A82</f>
        <v>0</v>
      </c>
    </row>
    <row r="83" spans="12:12" ht="15" customHeight="1" x14ac:dyDescent="0.25">
      <c r="L83" s="79">
        <f>K83-A83</f>
        <v>0</v>
      </c>
    </row>
    <row r="84" spans="12:12" ht="15" customHeight="1" x14ac:dyDescent="0.25">
      <c r="L84" s="79">
        <f>K84-A84</f>
        <v>0</v>
      </c>
    </row>
    <row r="85" spans="12:12" ht="15" customHeight="1" x14ac:dyDescent="0.25">
      <c r="L85" s="79">
        <f>K85-A85</f>
        <v>0</v>
      </c>
    </row>
    <row r="86" spans="12:12" ht="15" customHeight="1" x14ac:dyDescent="0.25">
      <c r="L86" s="79">
        <f>K86-A86</f>
        <v>0</v>
      </c>
    </row>
    <row r="87" spans="12:12" ht="15" customHeight="1" x14ac:dyDescent="0.25">
      <c r="L87" s="79">
        <f>K87-A87</f>
        <v>0</v>
      </c>
    </row>
    <row r="88" spans="12:12" ht="15" customHeight="1" x14ac:dyDescent="0.25">
      <c r="L88" s="79">
        <f>K88-A88</f>
        <v>0</v>
      </c>
    </row>
    <row r="89" spans="12:12" ht="15" customHeight="1" x14ac:dyDescent="0.25">
      <c r="L89" s="79">
        <f>K89-A89</f>
        <v>0</v>
      </c>
    </row>
    <row r="90" spans="12:12" ht="15" customHeight="1" x14ac:dyDescent="0.25">
      <c r="L90" s="79">
        <f>K90-A90</f>
        <v>0</v>
      </c>
    </row>
    <row r="91" spans="12:12" ht="15" customHeight="1" x14ac:dyDescent="0.25">
      <c r="L91" s="79">
        <f>K91-A91</f>
        <v>0</v>
      </c>
    </row>
    <row r="92" spans="12:12" ht="15" customHeight="1" x14ac:dyDescent="0.25">
      <c r="L92" s="79">
        <f>K92-A92</f>
        <v>0</v>
      </c>
    </row>
    <row r="93" spans="12:12" ht="15" customHeight="1" x14ac:dyDescent="0.25">
      <c r="L93" s="79">
        <f>K93-A93</f>
        <v>0</v>
      </c>
    </row>
    <row r="94" spans="12:12" ht="15" customHeight="1" x14ac:dyDescent="0.25">
      <c r="L94" s="79">
        <f>K94-A94</f>
        <v>0</v>
      </c>
    </row>
    <row r="95" spans="12:12" ht="15" customHeight="1" x14ac:dyDescent="0.25">
      <c r="L95" s="79">
        <f>K95-A95</f>
        <v>0</v>
      </c>
    </row>
    <row r="96" spans="12:12" ht="15" customHeight="1" x14ac:dyDescent="0.25">
      <c r="L96" s="79">
        <f>K96-A96</f>
        <v>0</v>
      </c>
    </row>
    <row r="97" spans="12:12" ht="15" customHeight="1" x14ac:dyDescent="0.25">
      <c r="L97" s="79">
        <f>K97-A97</f>
        <v>0</v>
      </c>
    </row>
    <row r="98" spans="12:12" ht="15" customHeight="1" x14ac:dyDescent="0.25">
      <c r="L98" s="79">
        <f>K98-A98</f>
        <v>0</v>
      </c>
    </row>
    <row r="99" spans="12:12" ht="15" customHeight="1" x14ac:dyDescent="0.25">
      <c r="L99" s="79">
        <f>K99-A99</f>
        <v>0</v>
      </c>
    </row>
  </sheetData>
  <autoFilter ref="A1:L99" xr:uid="{05F62977-2896-436C-A1CF-A67913CB73E7}">
    <sortState xmlns:xlrd2="http://schemas.microsoft.com/office/spreadsheetml/2017/richdata2" ref="A2:L99">
      <sortCondition ref="A1:A99"/>
    </sortState>
  </autoFilter>
  <phoneticPr fontId="4" type="noConversion"/>
  <conditionalFormatting sqref="A4:C4 M4:XFD4">
    <cfRule type="containsText" dxfId="0" priority="1" operator="containsText" text="Lentitud">
      <formula>NOT(ISERROR(SEARCH("Lentitud",A4)))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485CAD2-C401-43C0-A019-32C4A716177C}">
          <x14:formula1>
            <xm:f>Hoja6!$A$11:$A$13</xm:f>
          </x14:formula1>
          <xm:sqref>J2:J14 J30:J43</xm:sqref>
        </x14:dataValidation>
        <x14:dataValidation type="list" allowBlank="1" showInputMessage="1" showErrorMessage="1" xr:uid="{27A41B03-F7C8-42E7-A259-4573B18BE6B9}">
          <x14:formula1>
            <xm:f>Hoja6!$A$2:$A$9</xm:f>
          </x14:formula1>
          <xm:sqref>I2:I43</xm:sqref>
        </x14:dataValidation>
        <x14:dataValidation type="list" allowBlank="1" showInputMessage="1" showErrorMessage="1" xr:uid="{6D304A43-C03A-4058-8BFF-C5884A10044A}">
          <x14:formula1>
            <xm:f>Hoja6!$A$14:$A$17</xm:f>
          </x14:formula1>
          <xm:sqref>G2:G43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471C-EA27-4BF2-B5F5-D3CC4C64C0E8}">
  <sheetPr codeName="Hoja1"/>
  <dimension ref="A1:L266"/>
  <sheetViews>
    <sheetView zoomScaleNormal="100" workbookViewId="0">
      <pane ySplit="1" topLeftCell="A240" activePane="bottomLeft" state="frozen"/>
      <selection activeCell="G1" sqref="G1"/>
      <selection pane="bottomLeft" activeCell="D257" sqref="D257"/>
    </sheetView>
  </sheetViews>
  <sheetFormatPr baseColWidth="10" defaultRowHeight="15" x14ac:dyDescent="0.25"/>
  <cols>
    <col min="1" max="1" width="16" style="3" bestFit="1" customWidth="1"/>
    <col min="2" max="2" width="19.5703125" style="2" bestFit="1" customWidth="1"/>
    <col min="3" max="3" width="15.42578125" style="21" bestFit="1" customWidth="1"/>
    <col min="4" max="4" width="69.85546875" style="3" bestFit="1" customWidth="1"/>
    <col min="5" max="5" width="13.7109375" style="2" bestFit="1" customWidth="1"/>
    <col min="6" max="6" width="14.85546875" style="2" customWidth="1"/>
    <col min="7" max="7" width="22" style="2" customWidth="1"/>
    <col min="8" max="8" width="58.140625" style="2" customWidth="1"/>
    <col min="9" max="9" width="53.140625" style="2" customWidth="1"/>
    <col min="10" max="10" width="16.28515625" style="2" bestFit="1" customWidth="1"/>
    <col min="11" max="11" width="18.7109375" style="23" bestFit="1" customWidth="1"/>
    <col min="12" max="12" width="36.85546875" style="23" customWidth="1"/>
    <col min="13" max="16384" width="11.42578125" style="2"/>
  </cols>
  <sheetData>
    <row r="1" spans="1:12" x14ac:dyDescent="0.25">
      <c r="A1" s="15" t="s">
        <v>0</v>
      </c>
      <c r="B1" s="15" t="s">
        <v>726</v>
      </c>
      <c r="C1" s="20" t="s">
        <v>1</v>
      </c>
      <c r="D1" s="15" t="s">
        <v>824</v>
      </c>
      <c r="E1" s="15" t="s">
        <v>1051</v>
      </c>
      <c r="F1" s="15" t="s">
        <v>2</v>
      </c>
      <c r="G1" s="15" t="s">
        <v>727</v>
      </c>
      <c r="H1" s="15" t="s">
        <v>837</v>
      </c>
      <c r="I1" s="15" t="s">
        <v>838</v>
      </c>
      <c r="J1" s="15" t="s">
        <v>7</v>
      </c>
      <c r="K1" s="1" t="s">
        <v>3</v>
      </c>
      <c r="L1" s="22" t="s">
        <v>388</v>
      </c>
    </row>
    <row r="2" spans="1:12" x14ac:dyDescent="0.25">
      <c r="A2" s="5">
        <v>45756.220729166664</v>
      </c>
      <c r="B2" s="6" t="s">
        <v>735</v>
      </c>
      <c r="C2" s="31">
        <v>10000573525</v>
      </c>
      <c r="D2" s="3" t="e">
        <f>VLOOKUP(C2,[2]DATOS!$B$6:$D$1004,3,FALSE)</f>
        <v>#N/A</v>
      </c>
      <c r="E2" s="3" t="e">
        <f>VLOOKUP(C2,[2]DATOS!$B$6:$E$1004,4,FALSE)</f>
        <v>#N/A</v>
      </c>
      <c r="F2" s="3" t="e">
        <f>VLOOKUP(C2,[2]DATOS!$B$6:$P$1002,15,FALSE)</f>
        <v>#N/A</v>
      </c>
      <c r="G2" s="3" t="s">
        <v>736</v>
      </c>
      <c r="H2" s="3"/>
      <c r="I2" s="6" t="s">
        <v>737</v>
      </c>
      <c r="J2" s="3" t="s">
        <v>835</v>
      </c>
      <c r="K2" s="44">
        <v>45756.239548611113</v>
      </c>
      <c r="L2" s="32">
        <f t="shared" ref="L2:L33" si="0">K2-A2</f>
        <v>1.8819444449036382E-2</v>
      </c>
    </row>
    <row r="3" spans="1:12" x14ac:dyDescent="0.25">
      <c r="A3" s="5">
        <v>45756.224062499998</v>
      </c>
      <c r="B3" s="3" t="s">
        <v>738</v>
      </c>
      <c r="C3" s="21">
        <v>10000569696</v>
      </c>
      <c r="D3" s="3" t="str">
        <f>VLOOKUP(C3,[2]DATOS!$B$6:$D$1004,3,FALSE)</f>
        <v>CMPC-A-EMP-CMPC-DC-CDLV-SWITCH-CORE-9300-10000569696</v>
      </c>
      <c r="E3" s="3" t="str">
        <f>VLOOKUP(C3,[2]DATOS!$B$6:$E$1004,4,FALSE)</f>
        <v>10.234.225.180</v>
      </c>
      <c r="F3" s="3" t="str">
        <f>VLOOKUP(C3,[2]DATOS!$B$6:$P$1002,15,FALSE)</f>
        <v>EMPRESAS CMPC</v>
      </c>
      <c r="G3" s="3" t="s">
        <v>736</v>
      </c>
      <c r="H3" s="3"/>
      <c r="I3" s="6" t="s">
        <v>737</v>
      </c>
      <c r="J3" s="3" t="s">
        <v>835</v>
      </c>
      <c r="K3" s="45">
        <v>45756.239606481482</v>
      </c>
      <c r="L3" s="32">
        <f t="shared" si="0"/>
        <v>1.5543981484370306E-2</v>
      </c>
    </row>
    <row r="4" spans="1:12" ht="16.5" customHeight="1" x14ac:dyDescent="0.25">
      <c r="A4" s="5">
        <v>45756.374305555553</v>
      </c>
      <c r="B4" s="6" t="s">
        <v>732</v>
      </c>
      <c r="C4" s="31">
        <v>10000600258</v>
      </c>
      <c r="D4" s="3" t="str">
        <f>VLOOKUP(C4,[2]DATOS!$B$6:$D$1004,3,FALSE)</f>
        <v>CMPC-A-EMP-CMPC-DC-CDLV-IPSLA-10000600258</v>
      </c>
      <c r="E4" s="3" t="str">
        <f>VLOOKUP(C4,[2]DATOS!$B$6:$E$1004,4,FALSE)</f>
        <v>10.223.1.82</v>
      </c>
      <c r="F4" s="3" t="str">
        <f>VLOOKUP(C4,[2]DATOS!$B$6:$P$1002,15,FALSE)</f>
        <v>EMPRESAS CMPC</v>
      </c>
      <c r="G4" s="3" t="s">
        <v>734</v>
      </c>
      <c r="H4" s="3"/>
      <c r="I4" s="6" t="s">
        <v>733</v>
      </c>
      <c r="J4" s="3" t="s">
        <v>835</v>
      </c>
      <c r="K4" s="44">
        <v>45756.490277777775</v>
      </c>
      <c r="L4" s="32">
        <f t="shared" si="0"/>
        <v>0.11597222222189885</v>
      </c>
    </row>
    <row r="5" spans="1:12" x14ac:dyDescent="0.25">
      <c r="A5" s="5">
        <v>45757.524861111109</v>
      </c>
      <c r="B5" s="6" t="s">
        <v>739</v>
      </c>
      <c r="C5" s="31">
        <v>10000573525</v>
      </c>
      <c r="D5" s="3" t="e">
        <f>VLOOKUP(C5,[2]DATOS!$B$6:$D$1004,3,FALSE)</f>
        <v>#N/A</v>
      </c>
      <c r="E5" s="3" t="e">
        <f>VLOOKUP(C5,[2]DATOS!$B$6:$E$1004,4,FALSE)</f>
        <v>#N/A</v>
      </c>
      <c r="F5" s="3" t="e">
        <f>VLOOKUP(C5,[2]DATOS!$B$6:$P$1002,15,FALSE)</f>
        <v>#N/A</v>
      </c>
      <c r="G5" s="3" t="s">
        <v>740</v>
      </c>
      <c r="H5" s="3"/>
      <c r="I5" s="6" t="s">
        <v>741</v>
      </c>
      <c r="J5" s="3" t="s">
        <v>835</v>
      </c>
      <c r="K5" s="44">
        <v>45757.561643518522</v>
      </c>
      <c r="L5" s="32">
        <f t="shared" si="0"/>
        <v>3.6782407412829343E-2</v>
      </c>
    </row>
    <row r="6" spans="1:12" x14ac:dyDescent="0.25">
      <c r="A6" s="5">
        <v>45757.540092592593</v>
      </c>
      <c r="B6" s="3" t="s">
        <v>742</v>
      </c>
      <c r="C6" s="21">
        <v>10000569696</v>
      </c>
      <c r="D6" s="3" t="str">
        <f>VLOOKUP(C6,[2]DATOS!$B$6:$D$1004,3,FALSE)</f>
        <v>CMPC-A-EMP-CMPC-DC-CDLV-SWITCH-CORE-9300-10000569696</v>
      </c>
      <c r="E6" s="3" t="str">
        <f>VLOOKUP(C6,[2]DATOS!$B$6:$E$1004,4,FALSE)</f>
        <v>10.234.225.180</v>
      </c>
      <c r="F6" s="3" t="str">
        <f>VLOOKUP(C6,[2]DATOS!$B$6:$P$1002,15,FALSE)</f>
        <v>EMPRESAS CMPC</v>
      </c>
      <c r="G6" s="3" t="s">
        <v>740</v>
      </c>
      <c r="H6" s="3"/>
      <c r="I6" s="6" t="s">
        <v>741</v>
      </c>
      <c r="J6" s="3" t="s">
        <v>835</v>
      </c>
      <c r="K6" s="45">
        <v>45757.561701388891</v>
      </c>
      <c r="L6" s="32">
        <f t="shared" si="0"/>
        <v>2.1608796298096422E-2</v>
      </c>
    </row>
    <row r="7" spans="1:12" x14ac:dyDescent="0.25">
      <c r="A7" s="5">
        <v>45758.574733796297</v>
      </c>
      <c r="B7" s="3" t="s">
        <v>745</v>
      </c>
      <c r="C7" s="21">
        <v>10000372139</v>
      </c>
      <c r="D7" s="3" t="str">
        <f>VLOOKUP(C7,[2]DATOS!$B$6:$D$1004,3,FALSE)</f>
        <v>CMPC-PAPELES-EIRA-OSORNO-SERV2-SW-10000372139</v>
      </c>
      <c r="E7" s="3" t="str">
        <f>VLOOKUP(C7,[2]DATOS!$B$6:$E$1004,4,FALSE)</f>
        <v>10.235.87.237</v>
      </c>
      <c r="F7" s="3" t="str">
        <f>VLOOKUP(C7,[2]DATOS!$B$6:$P$1002,15,FALSE)</f>
        <v>CORRUGADO</v>
      </c>
      <c r="G7" s="3" t="s">
        <v>744</v>
      </c>
      <c r="H7" s="3"/>
      <c r="I7" s="3" t="s">
        <v>743</v>
      </c>
      <c r="J7" s="3" t="s">
        <v>835</v>
      </c>
      <c r="K7" s="45">
        <v>45758.583553240744</v>
      </c>
      <c r="L7" s="32">
        <f t="shared" si="0"/>
        <v>8.819444446999114E-3</v>
      </c>
    </row>
    <row r="8" spans="1:12" x14ac:dyDescent="0.25">
      <c r="A8" s="5">
        <v>45758.576874999999</v>
      </c>
      <c r="B8" s="3" t="s">
        <v>746</v>
      </c>
      <c r="C8" s="21">
        <v>10000372140</v>
      </c>
      <c r="D8" s="3" t="str">
        <f>VLOOKUP(C8,[2]DATOS!$B$6:$D$1004,3,FALSE)</f>
        <v>CMPC-PAPELES-EIRA-OSORNO-SERV1-SW-10000372140</v>
      </c>
      <c r="E8" s="3" t="str">
        <f>VLOOKUP(C8,[2]DATOS!$B$6:$E$1004,4,FALSE)</f>
        <v>10.235.87.236</v>
      </c>
      <c r="F8" s="3" t="str">
        <f>VLOOKUP(C8,[2]DATOS!$B$6:$P$1002,15,FALSE)</f>
        <v>CORRUGADO</v>
      </c>
      <c r="G8" s="3" t="s">
        <v>744</v>
      </c>
      <c r="H8" s="3"/>
      <c r="I8" s="3" t="s">
        <v>743</v>
      </c>
      <c r="J8" s="3" t="s">
        <v>835</v>
      </c>
      <c r="K8" s="45">
        <v>45758.583634259259</v>
      </c>
      <c r="L8" s="32">
        <f t="shared" si="0"/>
        <v>6.7592592604341917E-3</v>
      </c>
    </row>
    <row r="9" spans="1:12" x14ac:dyDescent="0.25">
      <c r="A9" s="5">
        <v>45761.664479166669</v>
      </c>
      <c r="B9" s="3" t="s">
        <v>749</v>
      </c>
      <c r="C9" s="31">
        <v>10000573525</v>
      </c>
      <c r="D9" s="3" t="e">
        <f>VLOOKUP(C9,[2]DATOS!$B$6:$D$1004,3,FALSE)</f>
        <v>#N/A</v>
      </c>
      <c r="E9" s="3" t="e">
        <f>VLOOKUP(C9,[2]DATOS!$B$6:$E$1004,4,FALSE)</f>
        <v>#N/A</v>
      </c>
      <c r="F9" s="3" t="e">
        <f>VLOOKUP(C9,[2]DATOS!$B$6:$P$1002,15,FALSE)</f>
        <v>#N/A</v>
      </c>
      <c r="G9" s="3" t="s">
        <v>747</v>
      </c>
      <c r="H9" s="3"/>
      <c r="I9" s="3" t="s">
        <v>748</v>
      </c>
      <c r="J9" s="3" t="s">
        <v>835</v>
      </c>
      <c r="K9" s="45">
        <v>45761.677615740744</v>
      </c>
      <c r="L9" s="32">
        <f t="shared" si="0"/>
        <v>1.3136574074451346E-2</v>
      </c>
    </row>
    <row r="10" spans="1:12" x14ac:dyDescent="0.25">
      <c r="A10" s="5">
        <v>45761.665983796294</v>
      </c>
      <c r="B10" s="3" t="s">
        <v>750</v>
      </c>
      <c r="C10" s="21">
        <v>10000569696</v>
      </c>
      <c r="D10" s="3" t="str">
        <f>VLOOKUP(C10,[2]DATOS!$B$6:$D$1004,3,FALSE)</f>
        <v>CMPC-A-EMP-CMPC-DC-CDLV-SWITCH-CORE-9300-10000569696</v>
      </c>
      <c r="E10" s="3" t="str">
        <f>VLOOKUP(C10,[2]DATOS!$B$6:$E$1004,4,FALSE)</f>
        <v>10.234.225.180</v>
      </c>
      <c r="F10" s="3" t="str">
        <f>VLOOKUP(C10,[2]DATOS!$B$6:$P$1002,15,FALSE)</f>
        <v>EMPRESAS CMPC</v>
      </c>
      <c r="G10" s="3" t="s">
        <v>747</v>
      </c>
      <c r="H10" s="3"/>
      <c r="I10" s="3" t="s">
        <v>748</v>
      </c>
      <c r="J10" s="3" t="s">
        <v>835</v>
      </c>
      <c r="K10" s="45">
        <v>45761.678032407406</v>
      </c>
      <c r="L10" s="32">
        <f t="shared" si="0"/>
        <v>1.2048611111822538E-2</v>
      </c>
    </row>
    <row r="11" spans="1:12" x14ac:dyDescent="0.25">
      <c r="A11" s="5">
        <v>45762.289814814816</v>
      </c>
      <c r="B11" s="3" t="s">
        <v>751</v>
      </c>
      <c r="C11" s="21">
        <v>10000006824</v>
      </c>
      <c r="D11" s="3" t="str">
        <f>VLOOKUP(C11,[2]DATOS!$B$6:$D$1004,3,FALSE)</f>
        <v>CMPC-C-SOFTYS-PTE-ALTO-PRIN-10000006824-RESP-GTD</v>
      </c>
      <c r="E11" s="3" t="str">
        <f>VLOOKUP(C11,[2]DATOS!$B$6:$E$1004,4,FALSE)</f>
        <v>10.221.19.38</v>
      </c>
      <c r="F11" s="3" t="str">
        <f>VLOOKUP(C11,[2]DATOS!$B$6:$P$1002,15,FALSE)</f>
        <v>SOFTYS</v>
      </c>
      <c r="G11" s="3" t="s">
        <v>752</v>
      </c>
      <c r="H11" s="3"/>
      <c r="I11" s="6" t="s">
        <v>753</v>
      </c>
      <c r="J11" s="3" t="s">
        <v>835</v>
      </c>
      <c r="K11" s="45">
        <v>45762.309398148151</v>
      </c>
      <c r="L11" s="32">
        <f t="shared" si="0"/>
        <v>1.9583333334594499E-2</v>
      </c>
    </row>
    <row r="12" spans="1:12" x14ac:dyDescent="0.25">
      <c r="A12" s="5">
        <v>45768.425752314812</v>
      </c>
      <c r="B12" s="3" t="s">
        <v>754</v>
      </c>
      <c r="C12" s="31">
        <v>10000573525</v>
      </c>
      <c r="D12" s="3" t="e">
        <f>VLOOKUP(C12,[2]DATOS!$B$6:$D$1004,3,FALSE)</f>
        <v>#N/A</v>
      </c>
      <c r="E12" s="3" t="e">
        <f>VLOOKUP(C12,[2]DATOS!$B$6:$E$1004,4,FALSE)</f>
        <v>#N/A</v>
      </c>
      <c r="F12" s="3" t="e">
        <f>VLOOKUP(C12,[2]DATOS!$B$6:$P$1002,15,FALSE)</f>
        <v>#N/A</v>
      </c>
      <c r="G12" s="3" t="s">
        <v>756</v>
      </c>
      <c r="H12" s="3"/>
      <c r="I12" s="3" t="s">
        <v>757</v>
      </c>
      <c r="J12" s="3" t="s">
        <v>835</v>
      </c>
      <c r="K12" s="45">
        <v>45768.47965277778</v>
      </c>
      <c r="L12" s="32">
        <f t="shared" si="0"/>
        <v>5.3900462968158536E-2</v>
      </c>
    </row>
    <row r="13" spans="1:12" x14ac:dyDescent="0.25">
      <c r="A13" s="5">
        <v>45768.455081018517</v>
      </c>
      <c r="B13" s="3" t="s">
        <v>755</v>
      </c>
      <c r="C13" s="21">
        <v>10000569696</v>
      </c>
      <c r="D13" s="3" t="str">
        <f>VLOOKUP(C13,[2]DATOS!$B$6:$D$1004,3,FALSE)</f>
        <v>CMPC-A-EMP-CMPC-DC-CDLV-SWITCH-CORE-9300-10000569696</v>
      </c>
      <c r="E13" s="3" t="str">
        <f>VLOOKUP(C13,[2]DATOS!$B$6:$E$1004,4,FALSE)</f>
        <v>10.234.225.180</v>
      </c>
      <c r="F13" s="3" t="str">
        <f>VLOOKUP(C13,[2]DATOS!$B$6:$P$1002,15,FALSE)</f>
        <v>EMPRESAS CMPC</v>
      </c>
      <c r="G13" s="3" t="s">
        <v>756</v>
      </c>
      <c r="H13" s="3"/>
      <c r="I13" s="3" t="s">
        <v>757</v>
      </c>
      <c r="J13" s="3" t="s">
        <v>835</v>
      </c>
      <c r="K13" s="45">
        <v>45768.479594907411</v>
      </c>
      <c r="L13" s="32">
        <f t="shared" si="0"/>
        <v>2.4513888893125113E-2</v>
      </c>
    </row>
    <row r="14" spans="1:12" x14ac:dyDescent="0.25">
      <c r="A14" s="5">
        <v>45768.4846412037</v>
      </c>
      <c r="B14" s="3" t="s">
        <v>758</v>
      </c>
      <c r="C14" s="21">
        <v>10000002079</v>
      </c>
      <c r="D14" s="3" t="str">
        <f>VLOOKUP(C14,[2]DATOS!$B$6:$D$1004,3,FALSE)</f>
        <v>CMPC-D-BIO-TERCEROS-LM-UNIC-10000002079</v>
      </c>
      <c r="E14" s="3" t="str">
        <f>VLOOKUP(C14,[2]DATOS!$B$6:$E$1004,4,FALSE)</f>
        <v>10.220.113.90</v>
      </c>
      <c r="F14" s="3" t="str">
        <f>VLOOKUP(C14,[2]DATOS!$B$6:$P$1002,15,FALSE)</f>
        <v>BOXBOARD</v>
      </c>
      <c r="G14" s="3" t="s">
        <v>759</v>
      </c>
      <c r="H14" s="3"/>
      <c r="I14" s="3" t="s">
        <v>759</v>
      </c>
      <c r="J14" s="3" t="s">
        <v>14</v>
      </c>
      <c r="K14" s="45">
        <v>45768.709907407407</v>
      </c>
      <c r="L14" s="32">
        <f t="shared" si="0"/>
        <v>0.22526620370626915</v>
      </c>
    </row>
    <row r="15" spans="1:12" x14ac:dyDescent="0.25">
      <c r="A15" s="5">
        <v>45772.060115740744</v>
      </c>
      <c r="B15" s="3" t="s">
        <v>760</v>
      </c>
      <c r="C15" s="21">
        <v>10000138837</v>
      </c>
      <c r="D15" s="3" t="str">
        <f>VLOOKUP(C15,[2]DATOS!$B$6:$D$1004,3,FALSE)</f>
        <v>CMPC-PAPELES-EIRA-OSORNO-CORE-SW-10000138837</v>
      </c>
      <c r="E15" s="3" t="str">
        <f>VLOOKUP(C15,[2]DATOS!$B$6:$E$1004,4,FALSE)</f>
        <v>10.234.50.117</v>
      </c>
      <c r="F15" s="3" t="str">
        <f>VLOOKUP(C15,[2]DATOS!$B$6:$P$1002,15,FALSE)</f>
        <v>CORRUGADO</v>
      </c>
      <c r="G15" s="3" t="s">
        <v>759</v>
      </c>
      <c r="H15" s="3"/>
      <c r="I15" s="3" t="s">
        <v>761</v>
      </c>
      <c r="J15" s="3" t="s">
        <v>14</v>
      </c>
      <c r="K15" s="45">
        <v>45772.097534722219</v>
      </c>
      <c r="L15" s="32">
        <f t="shared" si="0"/>
        <v>3.7418981475639157E-2</v>
      </c>
    </row>
    <row r="16" spans="1:12" x14ac:dyDescent="0.25">
      <c r="A16" s="5">
        <v>45773.705555555556</v>
      </c>
      <c r="B16" s="3" t="s">
        <v>762</v>
      </c>
      <c r="C16" s="21">
        <v>10000138837</v>
      </c>
      <c r="D16" s="3" t="str">
        <f>VLOOKUP(C16,[2]DATOS!$B$6:$D$1004,3,FALSE)</f>
        <v>CMPC-PAPELES-EIRA-OSORNO-CORE-SW-10000138837</v>
      </c>
      <c r="E16" s="3" t="str">
        <f>VLOOKUP(C16,[2]DATOS!$B$6:$E$1004,4,FALSE)</f>
        <v>10.234.50.117</v>
      </c>
      <c r="F16" s="3" t="str">
        <f>VLOOKUP(C16,[2]DATOS!$B$6:$P$1002,15,FALSE)</f>
        <v>CORRUGADO</v>
      </c>
      <c r="G16" s="3" t="s">
        <v>759</v>
      </c>
      <c r="H16" s="3"/>
      <c r="I16" s="3" t="s">
        <v>759</v>
      </c>
      <c r="J16" s="3" t="s">
        <v>14</v>
      </c>
      <c r="K16" s="45">
        <v>45773.73541666667</v>
      </c>
      <c r="L16" s="32">
        <f t="shared" si="0"/>
        <v>2.9861111113859806E-2</v>
      </c>
    </row>
    <row r="17" spans="1:12" x14ac:dyDescent="0.25">
      <c r="A17" s="5">
        <v>45774.645833333336</v>
      </c>
      <c r="B17" s="3" t="s">
        <v>763</v>
      </c>
      <c r="C17" s="21">
        <v>10000457640</v>
      </c>
      <c r="D17" s="3" t="str">
        <f>VLOOKUP(C17,[2]DATOS!$B$6:$D$1004,3,FALSE)</f>
        <v>CMPC-C-SOFTYS-LO-ECHEVERS-ED-AD-RESP-10000457640</v>
      </c>
      <c r="E17" s="3" t="str">
        <f>VLOOKUP(C17,[2]DATOS!$B$6:$E$1004,4,FALSE)</f>
        <v>10.235.254.94</v>
      </c>
      <c r="F17" s="3" t="str">
        <f>VLOOKUP(C17,[2]DATOS!$B$6:$P$1002,15,FALSE)</f>
        <v>SOFTYS</v>
      </c>
      <c r="G17" s="3" t="s">
        <v>759</v>
      </c>
      <c r="H17" s="3"/>
      <c r="I17" s="3" t="s">
        <v>764</v>
      </c>
      <c r="J17" s="3" t="s">
        <v>14</v>
      </c>
      <c r="K17" s="45">
        <v>45774.790277777778</v>
      </c>
      <c r="L17" s="32">
        <f t="shared" si="0"/>
        <v>0.1444444444423425</v>
      </c>
    </row>
    <row r="18" spans="1:12" x14ac:dyDescent="0.25">
      <c r="A18" s="5">
        <v>45775.501388888886</v>
      </c>
      <c r="B18" s="3" t="s">
        <v>765</v>
      </c>
      <c r="C18" s="21">
        <v>10000006824</v>
      </c>
      <c r="D18" s="3" t="str">
        <f>VLOOKUP(C18,[2]DATOS!$B$6:$D$1004,3,FALSE)</f>
        <v>CMPC-C-SOFTYS-PTE-ALTO-PRIN-10000006824-RESP-GTD</v>
      </c>
      <c r="E18" s="3" t="str">
        <f>VLOOKUP(C18,[2]DATOS!$B$6:$E$1004,4,FALSE)</f>
        <v>10.221.19.38</v>
      </c>
      <c r="F18" s="3" t="str">
        <f>VLOOKUP(C18,[2]DATOS!$B$6:$P$1002,15,FALSE)</f>
        <v>SOFTYS</v>
      </c>
      <c r="G18" s="3" t="s">
        <v>759</v>
      </c>
      <c r="H18" s="3"/>
      <c r="I18" s="3" t="s">
        <v>766</v>
      </c>
      <c r="J18" s="3" t="s">
        <v>835</v>
      </c>
      <c r="K18" s="45">
        <v>45775.532581018517</v>
      </c>
      <c r="L18" s="32">
        <f t="shared" si="0"/>
        <v>3.1192129630653653E-2</v>
      </c>
    </row>
    <row r="19" spans="1:12" x14ac:dyDescent="0.25">
      <c r="A19" s="5">
        <v>45775.67291666667</v>
      </c>
      <c r="B19" s="3" t="s">
        <v>767</v>
      </c>
      <c r="C19" s="33">
        <v>6963530001</v>
      </c>
      <c r="D19" s="3" t="str">
        <f>VLOOKUP(C19,[2]DATOS!$B$6:$D$1004,3,FALSE)</f>
        <v>CMPC-D-CEL-FORMIN-ANGOL-UNIC-6963530001</v>
      </c>
      <c r="E19" s="3" t="str">
        <f>VLOOKUP(C19,[2]DATOS!$B$6:$E$1004,4,FALSE)</f>
        <v>10.220.168.246</v>
      </c>
      <c r="F19" s="3" t="str">
        <f>VLOOKUP(C19,[2]DATOS!$B$6:$P$1002,15,FALSE)</f>
        <v>FORESTAL</v>
      </c>
      <c r="G19" s="3" t="s">
        <v>759</v>
      </c>
      <c r="H19" s="3"/>
      <c r="I19" s="3" t="s">
        <v>768</v>
      </c>
      <c r="J19" s="3" t="s">
        <v>14</v>
      </c>
      <c r="K19" s="45">
        <v>45775.806944444441</v>
      </c>
      <c r="L19" s="32">
        <f t="shared" si="0"/>
        <v>0.1340277777708252</v>
      </c>
    </row>
    <row r="20" spans="1:12" ht="20.25" customHeight="1" x14ac:dyDescent="0.25">
      <c r="A20" s="5">
        <v>45782.371527777781</v>
      </c>
      <c r="B20" s="3" t="s">
        <v>769</v>
      </c>
      <c r="C20" s="21">
        <v>10000600258</v>
      </c>
      <c r="D20" s="3" t="str">
        <f>VLOOKUP(C20,[2]DATOS!$B$6:$D$1004,3,FALSE)</f>
        <v>CMPC-A-EMP-CMPC-DC-CDLV-IPSLA-10000600258</v>
      </c>
      <c r="E20" s="3" t="str">
        <f>VLOOKUP(C20,[2]DATOS!$B$6:$E$1004,4,FALSE)</f>
        <v>10.223.1.82</v>
      </c>
      <c r="F20" s="3" t="str">
        <f>VLOOKUP(C20,[2]DATOS!$B$6:$P$1002,15,FALSE)</f>
        <v>EMPRESAS CMPC</v>
      </c>
      <c r="G20" s="3" t="s">
        <v>759</v>
      </c>
      <c r="H20" s="3"/>
      <c r="I20" s="6" t="s">
        <v>772</v>
      </c>
      <c r="J20" s="3" t="s">
        <v>14</v>
      </c>
      <c r="K20" s="45">
        <v>45782.45416666667</v>
      </c>
      <c r="L20" s="32">
        <f t="shared" si="0"/>
        <v>8.2638888889050577E-2</v>
      </c>
    </row>
    <row r="21" spans="1:12" x14ac:dyDescent="0.25">
      <c r="A21" s="5">
        <v>45783.254166666666</v>
      </c>
      <c r="B21" s="3" t="s">
        <v>774</v>
      </c>
      <c r="C21" s="21">
        <v>10000679287</v>
      </c>
      <c r="D21" s="3" t="str">
        <f>VLOOKUP(C21,[2]DATOS!$B$6:$D$1004,3,FALSE)</f>
        <v>CMPC-C-SOFTYS-TEATINOS-280-PRIN-10000679287</v>
      </c>
      <c r="E21" s="3" t="str">
        <f>VLOOKUP(C21,[2]DATOS!$B$6:$E$1004,4,FALSE)</f>
        <v>10.253.59.10</v>
      </c>
      <c r="F21" s="3">
        <f>VLOOKUP(C21,[2]DATOS!$B$6:$P$1002,15,FALSE)</f>
        <v>0</v>
      </c>
      <c r="G21" s="3" t="s">
        <v>775</v>
      </c>
      <c r="H21" s="3"/>
      <c r="I21" s="3" t="s">
        <v>776</v>
      </c>
      <c r="J21" s="3" t="s">
        <v>14</v>
      </c>
      <c r="K21" s="45" t="s">
        <v>777</v>
      </c>
      <c r="L21" s="32" t="e">
        <f t="shared" si="0"/>
        <v>#VALUE!</v>
      </c>
    </row>
    <row r="22" spans="1:12" x14ac:dyDescent="0.25">
      <c r="A22" s="5">
        <v>45783.402777777781</v>
      </c>
      <c r="B22" s="3" t="s">
        <v>770</v>
      </c>
      <c r="C22" s="21">
        <v>10000629785</v>
      </c>
      <c r="D22" s="3" t="e">
        <f>VLOOKUP(C22,[2]DATOS!$B$6:$D$1004,3,FALSE)</f>
        <v>#N/A</v>
      </c>
      <c r="E22" s="3" t="e">
        <f>VLOOKUP(C22,[2]DATOS!$B$6:$E$1004,4,FALSE)</f>
        <v>#N/A</v>
      </c>
      <c r="F22" s="3" t="e">
        <f>VLOOKUP(C22,[2]DATOS!$B$6:$P$1002,15,FALSE)</f>
        <v>#N/A</v>
      </c>
      <c r="G22" s="3" t="s">
        <v>759</v>
      </c>
      <c r="H22" s="3"/>
      <c r="I22" s="6" t="s">
        <v>771</v>
      </c>
      <c r="J22" s="3" t="s">
        <v>14</v>
      </c>
      <c r="K22" s="45">
        <v>45783.527083333334</v>
      </c>
      <c r="L22" s="32">
        <f t="shared" si="0"/>
        <v>0.12430555555329192</v>
      </c>
    </row>
    <row r="23" spans="1:12" x14ac:dyDescent="0.25">
      <c r="A23" s="5">
        <v>45783.427083333336</v>
      </c>
      <c r="B23" s="3" t="s">
        <v>773</v>
      </c>
      <c r="C23" s="21">
        <v>10000092238</v>
      </c>
      <c r="D23" s="3" t="e">
        <f>VLOOKUP(C23,[2]DATOS!$B$6:$D$1004,3,FALSE)</f>
        <v>#N/A</v>
      </c>
      <c r="E23" s="3" t="e">
        <f>VLOOKUP(C23,[2]DATOS!$B$6:$E$1004,4,FALSE)</f>
        <v>#N/A</v>
      </c>
      <c r="F23" s="3" t="e">
        <f>VLOOKUP(C23,[2]DATOS!$B$6:$P$1002,15,FALSE)</f>
        <v>#N/A</v>
      </c>
      <c r="G23" s="3" t="s">
        <v>759</v>
      </c>
      <c r="H23" s="3"/>
      <c r="I23" s="6" t="s">
        <v>771</v>
      </c>
      <c r="J23" s="3" t="s">
        <v>14</v>
      </c>
      <c r="K23" s="45">
        <v>45783.533333333333</v>
      </c>
      <c r="L23" s="32">
        <f t="shared" si="0"/>
        <v>0.10624999999708962</v>
      </c>
    </row>
    <row r="24" spans="1:12" x14ac:dyDescent="0.25">
      <c r="A24" s="5">
        <v>45786.306944444441</v>
      </c>
      <c r="B24" s="3" t="s">
        <v>4</v>
      </c>
      <c r="C24" s="21">
        <v>10000679287</v>
      </c>
      <c r="D24" s="3" t="str">
        <f>VLOOKUP(C24,[2]DATOS!$B$6:$D$1004,3,FALSE)</f>
        <v>CMPC-C-SOFTYS-TEATINOS-280-PRIN-10000679287</v>
      </c>
      <c r="E24" s="3" t="str">
        <f>VLOOKUP(C24,[2]DATOS!$B$6:$E$1004,4,FALSE)</f>
        <v>10.253.59.10</v>
      </c>
      <c r="F24" s="3">
        <f>VLOOKUP(C24,[2]DATOS!$B$6:$P$1002,15,FALSE)</f>
        <v>0</v>
      </c>
      <c r="G24" s="3" t="s">
        <v>759</v>
      </c>
      <c r="H24" s="3"/>
      <c r="I24" s="3" t="s">
        <v>778</v>
      </c>
      <c r="J24" s="3" t="s">
        <v>835</v>
      </c>
      <c r="K24" s="45">
        <v>45786.335416666669</v>
      </c>
      <c r="L24" s="32">
        <f t="shared" si="0"/>
        <v>2.8472222227719612E-2</v>
      </c>
    </row>
    <row r="25" spans="1:12" x14ac:dyDescent="0.25">
      <c r="A25" s="5">
        <v>45786.982638888891</v>
      </c>
      <c r="B25" s="3" t="s">
        <v>4</v>
      </c>
      <c r="C25" s="21">
        <v>10000581383</v>
      </c>
      <c r="D25" s="3" t="str">
        <f>VLOOKUP(C25,[2]DATOS!$B$6:$D$1004,3,FALSE)</f>
        <v>CMPC-D-BIO-SOREPA-COQUIMBO-UPS-10000581383</v>
      </c>
      <c r="E25" s="3" t="str">
        <f>VLOOKUP(C25,[2]DATOS!$B$6:$E$1004,4,FALSE)</f>
        <v>10.234.179.214</v>
      </c>
      <c r="F25" s="3" t="str">
        <f>VLOOKUP(C25,[2]DATOS!$B$6:$P$1002,15,FALSE)</f>
        <v>CORRUGADO</v>
      </c>
      <c r="G25" s="3" t="s">
        <v>759</v>
      </c>
      <c r="H25" s="3"/>
      <c r="I25" s="3" t="s">
        <v>779</v>
      </c>
      <c r="J25" s="3" t="s">
        <v>835</v>
      </c>
      <c r="K25" s="45">
        <v>45787.322916666664</v>
      </c>
      <c r="L25" s="32">
        <f t="shared" si="0"/>
        <v>0.34027777777373558</v>
      </c>
    </row>
    <row r="26" spans="1:12" x14ac:dyDescent="0.25">
      <c r="A26" s="5">
        <v>45787.247916666667</v>
      </c>
      <c r="B26" s="3" t="s">
        <v>4</v>
      </c>
      <c r="C26" s="21">
        <v>6999080001</v>
      </c>
      <c r="D26" s="3" t="str">
        <f>VLOOKUP(C26,[2]DATOS!$B$6:$D$1004,3,FALSE)</f>
        <v>CMPC-D-BIO-SOREPA-COQUIMBO-PRIN-6999080001-RESP-GTD</v>
      </c>
      <c r="E26" s="3" t="str">
        <f>VLOOKUP(C26,[2]DATOS!$B$6:$E$1004,4,FALSE)</f>
        <v>10.220.168.118</v>
      </c>
      <c r="F26" s="3" t="str">
        <f>VLOOKUP(C26,[2]DATOS!$B$6:$P$1002,15,FALSE)</f>
        <v>CORRUGADO</v>
      </c>
      <c r="G26" s="3" t="s">
        <v>759</v>
      </c>
      <c r="H26" s="3"/>
      <c r="I26" s="3" t="s">
        <v>781</v>
      </c>
      <c r="J26" s="3" t="s">
        <v>835</v>
      </c>
      <c r="K26" s="45">
        <v>45787.322916666664</v>
      </c>
      <c r="L26" s="32">
        <f t="shared" si="0"/>
        <v>7.4999999997089617E-2</v>
      </c>
    </row>
    <row r="27" spans="1:12" x14ac:dyDescent="0.25">
      <c r="A27" s="5">
        <v>45787.324305555558</v>
      </c>
      <c r="B27" s="3" t="s">
        <v>4</v>
      </c>
      <c r="C27" s="21">
        <v>10000000822</v>
      </c>
      <c r="D27" s="3" t="str">
        <f>VLOOKUP(C27,[2]DATOS!$B$6:$D$1004,3,FALSE)</f>
        <v>CMPC-C-CEL-MADERAS-PLANTA-CLEAR-PRIN-10000000822-RESP-GTD</v>
      </c>
      <c r="E27" s="3" t="str">
        <f>VLOOKUP(C27,[2]DATOS!$B$6:$E$1004,4,FALSE)</f>
        <v>10.228.65.66</v>
      </c>
      <c r="F27" s="3" t="str">
        <f>VLOOKUP(C27,[2]DATOS!$B$6:$P$1002,15,FALSE)</f>
        <v>MADERAS</v>
      </c>
      <c r="G27" s="3" t="s">
        <v>759</v>
      </c>
      <c r="H27" s="3"/>
      <c r="I27" s="3" t="s">
        <v>781</v>
      </c>
      <c r="J27" s="3" t="s">
        <v>835</v>
      </c>
      <c r="K27" s="45">
        <v>45787.441666666666</v>
      </c>
      <c r="L27" s="32">
        <f t="shared" si="0"/>
        <v>0.11736111110803904</v>
      </c>
    </row>
    <row r="28" spans="1:12" x14ac:dyDescent="0.25">
      <c r="A28" s="5">
        <v>45788.756944444445</v>
      </c>
      <c r="B28" s="3" t="s">
        <v>4</v>
      </c>
      <c r="C28" s="21">
        <v>10000581441</v>
      </c>
      <c r="D28" s="3" t="str">
        <f>VLOOKUP(C28,[2]DATOS!$B$6:$D$1004,3,FALSE)</f>
        <v>CMPC-D-CEL-CAPITAN-PASTENE-UPS-10000581441</v>
      </c>
      <c r="E28" s="3" t="str">
        <f>VLOOKUP(C28,[2]DATOS!$B$6:$E$1004,4,FALSE)</f>
        <v>10.234.178.142</v>
      </c>
      <c r="F28" s="3" t="str">
        <f>VLOOKUP(C28,[2]DATOS!$B$6:$P$1002,15,FALSE)</f>
        <v>FORESTAL</v>
      </c>
      <c r="G28" s="3" t="s">
        <v>759</v>
      </c>
      <c r="H28" s="3"/>
      <c r="I28" s="3" t="s">
        <v>780</v>
      </c>
      <c r="J28" s="3" t="s">
        <v>835</v>
      </c>
      <c r="K28" s="45">
        <v>45788.796527777777</v>
      </c>
      <c r="L28" s="32">
        <f t="shared" si="0"/>
        <v>3.9583333331393078E-2</v>
      </c>
    </row>
    <row r="29" spans="1:12" s="37" customFormat="1" ht="30" x14ac:dyDescent="0.25">
      <c r="A29" s="34">
        <v>45789.686620370368</v>
      </c>
      <c r="B29" s="35" t="s">
        <v>782</v>
      </c>
      <c r="C29" s="36">
        <v>6963530001</v>
      </c>
      <c r="D29" s="35" t="str">
        <f>VLOOKUP(C29,[2]DATOS!$B$6:$D$1004,3,FALSE)</f>
        <v>CMPC-D-CEL-FORMIN-ANGOL-UNIC-6963530001</v>
      </c>
      <c r="E29" s="35" t="str">
        <f>VLOOKUP(C29,[2]DATOS!$B$6:$E$1004,4,FALSE)</f>
        <v>10.220.168.246</v>
      </c>
      <c r="F29" s="35" t="str">
        <f>VLOOKUP(C29,[2]DATOS!$B$6:$P$1002,15,FALSE)</f>
        <v>FORESTAL</v>
      </c>
      <c r="G29" s="38" t="s">
        <v>783</v>
      </c>
      <c r="H29" s="38"/>
      <c r="I29" s="38" t="s">
        <v>784</v>
      </c>
      <c r="J29" s="35" t="s">
        <v>14</v>
      </c>
      <c r="K29" s="46">
        <v>45790.734722222223</v>
      </c>
      <c r="L29" s="39">
        <f t="shared" si="0"/>
        <v>1.0481018518548808</v>
      </c>
    </row>
    <row r="30" spans="1:12" s="37" customFormat="1" x14ac:dyDescent="0.25">
      <c r="A30" s="34">
        <v>45790.211724537039</v>
      </c>
      <c r="B30" s="35" t="s">
        <v>785</v>
      </c>
      <c r="C30" s="36">
        <v>10000457638</v>
      </c>
      <c r="D30" s="35" t="str">
        <f>VLOOKUP(C30,[2]DATOS!$B$6:$D$1004,3,FALSE)</f>
        <v>CMPC-C-SOFTYS-LO-ECHEVERS-CD-PRIN-10000457638</v>
      </c>
      <c r="E30" s="35" t="str">
        <f>VLOOKUP(C30,[2]DATOS!$B$6:$E$1004,4,FALSE)</f>
        <v>10.235.254.138</v>
      </c>
      <c r="F30" s="35" t="str">
        <f>VLOOKUP(C30,[2]DATOS!$B$6:$P$1002,15,FALSE)</f>
        <v>SOFTYS</v>
      </c>
      <c r="G30" s="35" t="s">
        <v>786</v>
      </c>
      <c r="H30" s="35"/>
      <c r="I30" s="35" t="s">
        <v>787</v>
      </c>
      <c r="J30" s="35" t="s">
        <v>14</v>
      </c>
      <c r="K30" s="46">
        <v>45791.59375</v>
      </c>
      <c r="L30" s="39">
        <f t="shared" si="0"/>
        <v>1.3820254629608826</v>
      </c>
    </row>
    <row r="31" spans="1:12" s="37" customFormat="1" x14ac:dyDescent="0.25">
      <c r="A31" s="34">
        <v>45791.509143518517</v>
      </c>
      <c r="B31" s="35" t="s">
        <v>788</v>
      </c>
      <c r="C31" s="36">
        <v>6998930001</v>
      </c>
      <c r="D31" s="35" t="str">
        <f>VLOOKUP(C31,[2]DATOS!$B$6:$D$1004,3,FALSE)</f>
        <v>CMPC-D-CEL-CHARRUA-UNIC-6998930001</v>
      </c>
      <c r="E31" s="35" t="str">
        <f>VLOOKUP(C31,[2]DATOS!$B$6:$E$1004,4,FALSE)</f>
        <v>10.221.19.142</v>
      </c>
      <c r="F31" s="35" t="str">
        <f>VLOOKUP(C31,[2]DATOS!$B$6:$P$1002,15,FALSE)</f>
        <v>CELULOSA</v>
      </c>
      <c r="G31" s="35" t="s">
        <v>759</v>
      </c>
      <c r="H31" s="35"/>
      <c r="I31" s="35" t="s">
        <v>791</v>
      </c>
      <c r="J31" s="35" t="s">
        <v>14</v>
      </c>
      <c r="K31" s="46">
        <v>45792.211805555555</v>
      </c>
      <c r="L31" s="39">
        <f t="shared" si="0"/>
        <v>0.70266203703795327</v>
      </c>
    </row>
    <row r="32" spans="1:12" s="37" customFormat="1" x14ac:dyDescent="0.25">
      <c r="A32" s="34">
        <v>45791.545925925922</v>
      </c>
      <c r="B32" s="35" t="s">
        <v>789</v>
      </c>
      <c r="C32" s="36">
        <v>10000065131</v>
      </c>
      <c r="D32" s="35" t="str">
        <f>VLOOKUP(C32,[2]DATOS!$B$6:$D$1004,3,FALSE)</f>
        <v>CMPC-A-EMP-CMPC-DC-KYNDRYL-RESP-10000065131</v>
      </c>
      <c r="E32" s="35" t="str">
        <f>VLOOKUP(C32,[2]DATOS!$B$6:$E$1004,4,FALSE)</f>
        <v>10.228.66.6</v>
      </c>
      <c r="F32" s="35" t="str">
        <f>VLOOKUP(C32,[2]DATOS!$B$6:$P$1002,15,FALSE)</f>
        <v>EMPRESAS CMPC</v>
      </c>
      <c r="G32" s="35" t="s">
        <v>759</v>
      </c>
      <c r="H32" s="35"/>
      <c r="I32" s="35" t="s">
        <v>790</v>
      </c>
      <c r="J32" s="35" t="s">
        <v>14</v>
      </c>
      <c r="K32" s="46">
        <v>45791.607638888891</v>
      </c>
      <c r="L32" s="39">
        <f t="shared" si="0"/>
        <v>6.1712962968158536E-2</v>
      </c>
    </row>
    <row r="33" spans="1:12" s="37" customFormat="1" x14ac:dyDescent="0.25">
      <c r="A33" s="34">
        <v>45792.591064814813</v>
      </c>
      <c r="B33" s="35" t="s">
        <v>792</v>
      </c>
      <c r="C33" s="36">
        <v>7808270001</v>
      </c>
      <c r="D33" s="35" t="str">
        <f>VLOOKUP(C33,[2]DATOS!$B$6:$D$1004,3,FALSE)</f>
        <v>CMPC-D-CEL-FORMIN-CANETE-UNIC-7808270001</v>
      </c>
      <c r="E33" s="35" t="str">
        <f>VLOOKUP(C33,[2]DATOS!$B$6:$E$1004,4,FALSE)</f>
        <v>10.220.168.158</v>
      </c>
      <c r="F33" s="35" t="str">
        <f>VLOOKUP(C33,[2]DATOS!$B$6:$P$1002,15,FALSE)</f>
        <v>FORESTAL</v>
      </c>
      <c r="G33" s="35" t="s">
        <v>759</v>
      </c>
      <c r="H33" s="35"/>
      <c r="I33" s="35" t="s">
        <v>793</v>
      </c>
      <c r="J33" s="35" t="s">
        <v>14</v>
      </c>
      <c r="K33" s="46">
        <v>45792.65625</v>
      </c>
      <c r="L33" s="39">
        <f t="shared" si="0"/>
        <v>6.5185185187146999E-2</v>
      </c>
    </row>
    <row r="34" spans="1:12" s="37" customFormat="1" x14ac:dyDescent="0.25">
      <c r="A34" s="34">
        <v>45793.393078703702</v>
      </c>
      <c r="B34" s="37" t="s">
        <v>794</v>
      </c>
      <c r="C34" s="36">
        <v>6966100001</v>
      </c>
      <c r="D34" s="35" t="str">
        <f>VLOOKUP(C34,[2]DATOS!$B$6:$D$1004,3,FALSE)</f>
        <v>CMPC-D-BIO-CARTULINAS-CERRILLOS-DITRANS-UNIC-6966100001</v>
      </c>
      <c r="E34" s="35" t="str">
        <f>VLOOKUP(C34,[2]DATOS!$B$6:$E$1004,4,FALSE)</f>
        <v>10.220.168.26</v>
      </c>
      <c r="F34" s="35" t="str">
        <f>VLOOKUP(C34,[2]DATOS!$B$6:$P$1002,15,FALSE)</f>
        <v>BOXBOARD</v>
      </c>
      <c r="G34" s="35" t="s">
        <v>759</v>
      </c>
      <c r="H34" s="35"/>
      <c r="I34" s="35" t="s">
        <v>795</v>
      </c>
      <c r="J34" s="35" t="s">
        <v>14</v>
      </c>
      <c r="K34" s="46">
        <v>45793.685416666667</v>
      </c>
      <c r="L34" s="39">
        <f t="shared" ref="L34:L65" si="1">K34-A34</f>
        <v>0.29233796296466608</v>
      </c>
    </row>
    <row r="35" spans="1:12" s="37" customFormat="1" x14ac:dyDescent="0.25">
      <c r="A35" s="34">
        <v>45794.114398148151</v>
      </c>
      <c r="B35" s="35" t="s">
        <v>4</v>
      </c>
      <c r="C35" s="36">
        <v>10000577752</v>
      </c>
      <c r="D35" s="35" t="str">
        <f>VLOOKUP(C35,[2]DATOS!$B$6:$D$1004,3,FALSE)</f>
        <v>CMPC-D-CEL-C.PINARES-INTERNET-10000577752</v>
      </c>
      <c r="E35" s="35" t="str">
        <f>VLOOKUP(C35,[2]DATOS!$B$6:$E$1004,4,FALSE)</f>
        <v>10.234.150.114</v>
      </c>
      <c r="F35" s="35" t="str">
        <f>VLOOKUP(C35,[2]DATOS!$B$6:$P$1002,15,FALSE)</f>
        <v>CELULOSA</v>
      </c>
      <c r="G35" s="35" t="s">
        <v>759</v>
      </c>
      <c r="H35" s="35"/>
      <c r="I35" s="35" t="s">
        <v>800</v>
      </c>
      <c r="J35" s="35" t="s">
        <v>835</v>
      </c>
      <c r="K35" s="46">
        <v>45794.459027777775</v>
      </c>
      <c r="L35" s="39">
        <f t="shared" si="1"/>
        <v>0.34462962962425081</v>
      </c>
    </row>
    <row r="36" spans="1:12" s="37" customFormat="1" x14ac:dyDescent="0.25">
      <c r="A36" s="34">
        <v>45794.120648148149</v>
      </c>
      <c r="B36" s="37" t="s">
        <v>799</v>
      </c>
      <c r="C36" s="36">
        <v>10000000822</v>
      </c>
      <c r="D36" s="35" t="str">
        <f>VLOOKUP(C36,[2]DATOS!$B$6:$D$1004,3,FALSE)</f>
        <v>CMPC-C-CEL-MADERAS-PLANTA-CLEAR-PRIN-10000000822-RESP-GTD</v>
      </c>
      <c r="E36" s="35" t="str">
        <f>VLOOKUP(C36,[2]DATOS!$B$6:$E$1004,4,FALSE)</f>
        <v>10.228.65.66</v>
      </c>
      <c r="F36" s="35" t="str">
        <f>VLOOKUP(C36,[2]DATOS!$B$6:$P$1002,15,FALSE)</f>
        <v>MADERAS</v>
      </c>
      <c r="G36" s="35" t="s">
        <v>759</v>
      </c>
      <c r="H36" s="35"/>
      <c r="I36" s="35" t="s">
        <v>800</v>
      </c>
      <c r="J36" s="35" t="s">
        <v>835</v>
      </c>
      <c r="K36" s="46">
        <v>45794.178472222222</v>
      </c>
      <c r="L36" s="39">
        <f t="shared" si="1"/>
        <v>5.7824074072414078E-2</v>
      </c>
    </row>
    <row r="37" spans="1:12" s="37" customFormat="1" x14ac:dyDescent="0.25">
      <c r="A37" s="34">
        <v>45794.156759259262</v>
      </c>
      <c r="B37" s="35" t="s">
        <v>796</v>
      </c>
      <c r="C37" s="36">
        <v>10000022240</v>
      </c>
      <c r="D37" s="35" t="str">
        <f>VLOOKUP(C37,[2]DATOS!$B$6:$D$1004,3,FALSE)</f>
        <v>CMPC-C-CEL-PACIFICO-RESP-10000022240</v>
      </c>
      <c r="E37" s="35" t="str">
        <f>VLOOKUP(C37,[2]DATOS!$B$6:$E$1004,4,FALSE)</f>
        <v>10.221.19.66</v>
      </c>
      <c r="F37" s="35" t="str">
        <f>VLOOKUP(C37,[2]DATOS!$B$6:$P$1002,15,FALSE)</f>
        <v>PULP</v>
      </c>
      <c r="G37" s="35" t="s">
        <v>759</v>
      </c>
      <c r="H37" s="35"/>
      <c r="I37" s="35" t="s">
        <v>797</v>
      </c>
      <c r="J37" s="35" t="s">
        <v>14</v>
      </c>
      <c r="K37" s="46">
        <v>45794.209027777775</v>
      </c>
      <c r="L37" s="39">
        <f t="shared" si="1"/>
        <v>5.2268518513301387E-2</v>
      </c>
    </row>
    <row r="38" spans="1:12" s="37" customFormat="1" x14ac:dyDescent="0.25">
      <c r="A38" s="34">
        <v>45795.223877314813</v>
      </c>
      <c r="B38" s="35" t="s">
        <v>798</v>
      </c>
      <c r="C38" s="36">
        <v>10000006824</v>
      </c>
      <c r="D38" s="35" t="str">
        <f>VLOOKUP(C38,[2]DATOS!$B$6:$D$1004,3,FALSE)</f>
        <v>CMPC-C-SOFTYS-PTE-ALTO-PRIN-10000006824-RESP-GTD</v>
      </c>
      <c r="E38" s="35" t="str">
        <f>VLOOKUP(C38,[2]DATOS!$B$6:$E$1004,4,FALSE)</f>
        <v>10.221.19.38</v>
      </c>
      <c r="F38" s="35" t="str">
        <f>VLOOKUP(C38,[2]DATOS!$B$6:$P$1002,15,FALSE)</f>
        <v>SOFTYS</v>
      </c>
      <c r="G38" s="35" t="s">
        <v>759</v>
      </c>
      <c r="H38" s="35"/>
      <c r="I38" s="35" t="s">
        <v>797</v>
      </c>
      <c r="J38" s="35" t="s">
        <v>14</v>
      </c>
      <c r="K38" s="46">
        <v>45795.259027777778</v>
      </c>
      <c r="L38" s="39">
        <f t="shared" si="1"/>
        <v>3.5150462965248153E-2</v>
      </c>
    </row>
    <row r="39" spans="1:12" s="37" customFormat="1" x14ac:dyDescent="0.25">
      <c r="A39" s="34">
        <v>45795.404166666667</v>
      </c>
      <c r="B39" s="35" t="s">
        <v>4</v>
      </c>
      <c r="C39" s="36">
        <v>10000058627</v>
      </c>
      <c r="D39" s="35" t="str">
        <f>VLOOKUP(C39,[2]DATOS!$B$6:$D$1004,3,FALSE)</f>
        <v>CMPC-C-CEL-PACIFICO-PRIN-10000058627</v>
      </c>
      <c r="E39" s="35" t="str">
        <f>VLOOKUP(C39,[2]DATOS!$B$6:$E$1004,4,FALSE)</f>
        <v>10.221.19.102</v>
      </c>
      <c r="F39" s="35" t="str">
        <f>VLOOKUP(C39,[2]DATOS!$B$6:$P$1002,15,FALSE)</f>
        <v>PULP</v>
      </c>
      <c r="G39" s="35" t="s">
        <v>759</v>
      </c>
      <c r="H39" s="35"/>
      <c r="I39" s="35" t="s">
        <v>801</v>
      </c>
      <c r="J39" s="35" t="s">
        <v>835</v>
      </c>
      <c r="K39" s="46">
        <v>45795.411111111112</v>
      </c>
      <c r="L39" s="39">
        <f t="shared" si="1"/>
        <v>6.9444444452528842E-3</v>
      </c>
    </row>
    <row r="40" spans="1:12" s="37" customFormat="1" x14ac:dyDescent="0.25">
      <c r="A40" s="34">
        <v>45795.404166666667</v>
      </c>
      <c r="B40" s="35" t="s">
        <v>4</v>
      </c>
      <c r="C40" s="36">
        <v>10000022240</v>
      </c>
      <c r="D40" s="35" t="str">
        <f>VLOOKUP(C40,[2]DATOS!$B$6:$D$1004,3,FALSE)</f>
        <v>CMPC-C-CEL-PACIFICO-RESP-10000022240</v>
      </c>
      <c r="E40" s="35" t="str">
        <f>VLOOKUP(C40,[2]DATOS!$B$6:$E$1004,4,FALSE)</f>
        <v>10.221.19.66</v>
      </c>
      <c r="F40" s="35" t="str">
        <f>VLOOKUP(C40,[2]DATOS!$B$6:$P$1002,15,FALSE)</f>
        <v>PULP</v>
      </c>
      <c r="G40" s="35" t="s">
        <v>759</v>
      </c>
      <c r="H40" s="35"/>
      <c r="I40" s="35" t="s">
        <v>801</v>
      </c>
      <c r="J40" s="35" t="s">
        <v>835</v>
      </c>
      <c r="K40" s="46">
        <v>45796.411111111112</v>
      </c>
      <c r="L40" s="39">
        <f t="shared" si="1"/>
        <v>1.0069444444452529</v>
      </c>
    </row>
    <row r="41" spans="1:12" s="37" customFormat="1" x14ac:dyDescent="0.25">
      <c r="A41" s="34">
        <v>45796.731249999997</v>
      </c>
      <c r="B41" s="35" t="s">
        <v>4</v>
      </c>
      <c r="C41" s="36">
        <v>10000000822</v>
      </c>
      <c r="D41" s="35" t="str">
        <f>VLOOKUP(C41,[2]DATOS!$B$6:$D$1004,3,FALSE)</f>
        <v>CMPC-C-CEL-MADERAS-PLANTA-CLEAR-PRIN-10000000822-RESP-GTD</v>
      </c>
      <c r="E41" s="35" t="str">
        <f>VLOOKUP(C41,[2]DATOS!$B$6:$E$1004,4,FALSE)</f>
        <v>10.228.65.66</v>
      </c>
      <c r="F41" s="35" t="str">
        <f>VLOOKUP(C41,[2]DATOS!$B$6:$P$1002,15,FALSE)</f>
        <v>MADERAS</v>
      </c>
      <c r="G41" s="35" t="s">
        <v>759</v>
      </c>
      <c r="H41" s="35"/>
      <c r="I41" s="35" t="s">
        <v>802</v>
      </c>
      <c r="J41" s="35" t="s">
        <v>835</v>
      </c>
      <c r="K41" s="46">
        <v>45796.775694444441</v>
      </c>
      <c r="L41" s="39">
        <f t="shared" si="1"/>
        <v>4.4444444443797693E-2</v>
      </c>
    </row>
    <row r="42" spans="1:12" s="37" customFormat="1" x14ac:dyDescent="0.25">
      <c r="A42" s="34">
        <v>45797.662233796298</v>
      </c>
      <c r="B42" s="35" t="s">
        <v>803</v>
      </c>
      <c r="C42" s="36">
        <v>7096170001</v>
      </c>
      <c r="D42" s="35" t="str">
        <f>VLOOKUP(C42,[2]DATOS!$B$6:$D$1004,3,FALSE)</f>
        <v>CMPC-C-CEL-PACIFICO-TELEFONIA-7096170001</v>
      </c>
      <c r="E42" s="35" t="str">
        <f>VLOOKUP(C42,[2]DATOS!$B$6:$E$1004,4,FALSE)</f>
        <v>10.96.2.164</v>
      </c>
      <c r="F42" s="35" t="str">
        <f>VLOOKUP(C42,[2]DATOS!$B$6:$P$1002,15,FALSE)</f>
        <v>PULP</v>
      </c>
      <c r="G42" s="35" t="s">
        <v>804</v>
      </c>
      <c r="H42" s="35"/>
      <c r="I42" s="35" t="s">
        <v>805</v>
      </c>
      <c r="J42" s="35" t="s">
        <v>14</v>
      </c>
      <c r="K42" s="46">
        <v>45797.767361111109</v>
      </c>
      <c r="L42" s="39">
        <f t="shared" si="1"/>
        <v>0.10512731481139781</v>
      </c>
    </row>
    <row r="43" spans="1:12" s="37" customFormat="1" x14ac:dyDescent="0.25">
      <c r="A43" s="34">
        <v>45800.253900462965</v>
      </c>
      <c r="B43" s="35" t="s">
        <v>4</v>
      </c>
      <c r="C43" s="36">
        <v>10000004781</v>
      </c>
      <c r="D43" s="35" t="str">
        <f>VLOOKUP(C43,[2]DATOS!$B$6:$D$1004,3,FALSE)</f>
        <v>CMPC-D-TERCEROS-SERFOVAL-UNIC-10000004781</v>
      </c>
      <c r="E43" s="35" t="str">
        <f>VLOOKUP(C43,[2]DATOS!$B$6:$E$1004,4,FALSE)</f>
        <v>10.220.113.98</v>
      </c>
      <c r="F43" s="35" t="str">
        <f>VLOOKUP(C43,[2]DATOS!$B$6:$P$1002,15,FALSE)</f>
        <v>FORESTAL</v>
      </c>
      <c r="G43" s="35" t="s">
        <v>759</v>
      </c>
      <c r="H43" s="35"/>
      <c r="I43" s="35" t="s">
        <v>800</v>
      </c>
      <c r="J43" s="35" t="s">
        <v>835</v>
      </c>
      <c r="K43" s="46">
        <v>45800.256944444445</v>
      </c>
      <c r="L43" s="39">
        <f t="shared" si="1"/>
        <v>3.0439814800047316E-3</v>
      </c>
    </row>
    <row r="44" spans="1:12" s="37" customFormat="1" x14ac:dyDescent="0.25">
      <c r="A44" s="34">
        <v>45800.529861111114</v>
      </c>
      <c r="B44" s="35" t="s">
        <v>806</v>
      </c>
      <c r="C44" s="36">
        <v>10000577752</v>
      </c>
      <c r="D44" s="35" t="str">
        <f>VLOOKUP(C44,[2]DATOS!$B$6:$D$1004,3,FALSE)</f>
        <v>CMPC-D-CEL-C.PINARES-INTERNET-10000577752</v>
      </c>
      <c r="E44" s="35" t="str">
        <f>VLOOKUP(C44,[2]DATOS!$B$6:$E$1004,4,FALSE)</f>
        <v>10.234.150.114</v>
      </c>
      <c r="F44" s="35" t="str">
        <f>VLOOKUP(C44,[2]DATOS!$B$6:$P$1002,15,FALSE)</f>
        <v>CELULOSA</v>
      </c>
      <c r="G44" s="35" t="s">
        <v>759</v>
      </c>
      <c r="H44" s="35"/>
      <c r="I44" s="38" t="s">
        <v>807</v>
      </c>
      <c r="J44" s="35" t="s">
        <v>14</v>
      </c>
      <c r="K44" s="46">
        <v>45800.802777777775</v>
      </c>
      <c r="L44" s="39">
        <f t="shared" si="1"/>
        <v>0.27291666666133096</v>
      </c>
    </row>
    <row r="45" spans="1:12" s="37" customFormat="1" x14ac:dyDescent="0.25">
      <c r="A45" s="34">
        <v>45801.674305555556</v>
      </c>
      <c r="B45" s="35" t="s">
        <v>4</v>
      </c>
      <c r="C45" s="36">
        <v>10000100046</v>
      </c>
      <c r="D45" s="35" t="str">
        <f>VLOOKUP(C45,[2]DATOS!$B$6:$D$1004,3,FALSE)</f>
        <v>CMPC-PAPELES-EIRA-OSORNO-PRIN-T3-10000100046</v>
      </c>
      <c r="E45" s="35" t="str">
        <f>VLOOKUP(C45,[2]DATOS!$B$6:$E$1004,4,FALSE)</f>
        <v>10.221.19.154</v>
      </c>
      <c r="F45" s="35" t="str">
        <f>VLOOKUP(C45,[2]DATOS!$B$6:$P$1002,15,FALSE)</f>
        <v>CORRUGADO</v>
      </c>
      <c r="G45" s="35" t="s">
        <v>759</v>
      </c>
      <c r="H45" s="35"/>
      <c r="I45" s="35" t="s">
        <v>800</v>
      </c>
      <c r="J45" s="35" t="s">
        <v>835</v>
      </c>
      <c r="K45" s="46">
        <v>45802.839583333334</v>
      </c>
      <c r="L45" s="39">
        <f t="shared" si="1"/>
        <v>1.1652777777781012</v>
      </c>
    </row>
    <row r="46" spans="1:12" s="37" customFormat="1" x14ac:dyDescent="0.25">
      <c r="A46" s="34">
        <v>45804.415972222225</v>
      </c>
      <c r="B46" s="35" t="s">
        <v>809</v>
      </c>
      <c r="C46" s="36">
        <v>10000135304</v>
      </c>
      <c r="D46" s="35" t="str">
        <f>VLOOKUP(C46,[2]DATOS!$B$6:$D$1004,3,FALSE)</f>
        <v>CMPC_SOFTYS_TALAGANTE_CAE_CEN_10000135304</v>
      </c>
      <c r="E46" s="35" t="str">
        <f>VLOOKUP(C46,[2]DATOS!$B$6:$E$1004,4,FALSE)</f>
        <v>10.200.24.129</v>
      </c>
      <c r="F46" s="35" t="str">
        <f>VLOOKUP(C46,[2]DATOS!$B$6:$P$1002,15,FALSE)</f>
        <v>SOFTYS</v>
      </c>
      <c r="G46" s="35" t="s">
        <v>759</v>
      </c>
      <c r="H46" s="35"/>
      <c r="I46" s="38" t="s">
        <v>808</v>
      </c>
      <c r="J46" s="35" t="s">
        <v>14</v>
      </c>
      <c r="K46" s="46">
        <v>45804.798611111109</v>
      </c>
      <c r="L46" s="39">
        <f t="shared" si="1"/>
        <v>0.382638888884685</v>
      </c>
    </row>
    <row r="47" spans="1:12" s="37" customFormat="1" x14ac:dyDescent="0.25">
      <c r="A47" s="34">
        <v>45805.606944444444</v>
      </c>
      <c r="B47" s="35" t="s">
        <v>810</v>
      </c>
      <c r="C47" s="36">
        <v>10000577752</v>
      </c>
      <c r="D47" s="35" t="str">
        <f>VLOOKUP(C47,[2]DATOS!$B$6:$D$1004,3,FALSE)</f>
        <v>CMPC-D-CEL-C.PINARES-INTERNET-10000577752</v>
      </c>
      <c r="E47" s="35" t="str">
        <f>VLOOKUP(C47,[2]DATOS!$B$6:$E$1004,4,FALSE)</f>
        <v>10.234.150.114</v>
      </c>
      <c r="F47" s="35" t="str">
        <f>VLOOKUP(C47,[2]DATOS!$B$6:$P$1002,15,FALSE)</f>
        <v>CELULOSA</v>
      </c>
      <c r="G47" s="35" t="s">
        <v>759</v>
      </c>
      <c r="H47" s="35"/>
      <c r="I47" s="35" t="s">
        <v>800</v>
      </c>
      <c r="J47" s="35" t="s">
        <v>835</v>
      </c>
      <c r="K47" s="46">
        <v>45805.701388888891</v>
      </c>
      <c r="L47" s="39">
        <f t="shared" si="1"/>
        <v>9.4444444446708076E-2</v>
      </c>
    </row>
    <row r="48" spans="1:12" s="37" customFormat="1" x14ac:dyDescent="0.25">
      <c r="A48" s="34">
        <v>45806.731249999997</v>
      </c>
      <c r="B48" s="35" t="s">
        <v>811</v>
      </c>
      <c r="C48" s="36">
        <v>10000379551</v>
      </c>
      <c r="D48" s="35" t="str">
        <f>VLOOKUP(C48,[2]DATOS!$B$6:$D$1004,3,FALSE)</f>
        <v>CMPC-C-BIO-CHIMOLSA-PTE-ALTO-PRIN-10000379551-RESP-GTD</v>
      </c>
      <c r="E48" s="35" t="str">
        <f>VLOOKUP(C48,[2]DATOS!$B$6:$E$1004,4,FALSE)</f>
        <v>10.234.125.158</v>
      </c>
      <c r="F48" s="35" t="str">
        <f>VLOOKUP(C48,[2]DATOS!$B$6:$P$1002,15,FALSE)</f>
        <v>CORRUGADO</v>
      </c>
      <c r="G48" s="35" t="s">
        <v>759</v>
      </c>
      <c r="H48" s="35"/>
      <c r="I48" s="35" t="s">
        <v>812</v>
      </c>
      <c r="J48" s="35" t="s">
        <v>14</v>
      </c>
      <c r="K48" s="46">
        <v>45806.762499999997</v>
      </c>
      <c r="L48" s="39">
        <f t="shared" si="1"/>
        <v>3.125E-2</v>
      </c>
    </row>
    <row r="49" spans="1:12" s="37" customFormat="1" x14ac:dyDescent="0.25">
      <c r="A49" s="34">
        <v>45811.444444444445</v>
      </c>
      <c r="B49" s="35" t="s">
        <v>813</v>
      </c>
      <c r="C49" s="36">
        <v>10000457638</v>
      </c>
      <c r="D49" s="35" t="str">
        <f>VLOOKUP(C49,[2]DATOS!$B$6:$D$1004,3,FALSE)</f>
        <v>CMPC-C-SOFTYS-LO-ECHEVERS-CD-PRIN-10000457638</v>
      </c>
      <c r="E49" s="35" t="str">
        <f>VLOOKUP(C49,[2]DATOS!$B$6:$E$1004,4,FALSE)</f>
        <v>10.235.254.138</v>
      </c>
      <c r="F49" s="35" t="str">
        <f>VLOOKUP(C49,[2]DATOS!$B$6:$P$1002,15,FALSE)</f>
        <v>SOFTYS</v>
      </c>
      <c r="G49" s="35" t="s">
        <v>759</v>
      </c>
      <c r="H49" s="35"/>
      <c r="I49" s="38" t="s">
        <v>836</v>
      </c>
      <c r="J49" s="35" t="s">
        <v>14</v>
      </c>
      <c r="K49" s="46">
        <v>45812.379861111112</v>
      </c>
      <c r="L49" s="39">
        <f t="shared" si="1"/>
        <v>0.93541666666715173</v>
      </c>
    </row>
    <row r="50" spans="1:12" s="37" customFormat="1" x14ac:dyDescent="0.25">
      <c r="A50" s="34">
        <v>45812.56527777778</v>
      </c>
      <c r="B50" s="35" t="s">
        <v>4</v>
      </c>
      <c r="C50" s="36">
        <v>7800450001</v>
      </c>
      <c r="D50" s="35" t="str">
        <f>VLOOKUP(C50,[2]DATOS!$B$6:$D$1004,3,FALSE)</f>
        <v>CMPC-D-BIO-SOREPA-CONCEPCION-UNIC-7800450001</v>
      </c>
      <c r="E50" s="35" t="str">
        <f>VLOOKUP(C50,[2]DATOS!$B$6:$E$1004,4,FALSE)</f>
        <v>10.220.168.146</v>
      </c>
      <c r="F50" s="35" t="str">
        <f>VLOOKUP(C50,[2]DATOS!$B$6:$P$1002,15,FALSE)</f>
        <v>CORRUGADO</v>
      </c>
      <c r="G50" s="35" t="s">
        <v>759</v>
      </c>
      <c r="H50" s="35"/>
      <c r="I50" s="38" t="s">
        <v>833</v>
      </c>
      <c r="J50" s="35" t="s">
        <v>835</v>
      </c>
      <c r="K50" s="46">
        <v>45813.306250000001</v>
      </c>
      <c r="L50" s="39">
        <f t="shared" si="1"/>
        <v>0.74097222222189885</v>
      </c>
    </row>
    <row r="51" spans="1:12" s="37" customFormat="1" x14ac:dyDescent="0.25">
      <c r="A51" s="34">
        <v>45813.609722222223</v>
      </c>
      <c r="B51" s="35" t="s">
        <v>810</v>
      </c>
      <c r="C51" s="36">
        <v>10000577752</v>
      </c>
      <c r="D51" s="35" t="str">
        <f>VLOOKUP(C51,[2]DATOS!$B$6:$D$1004,3,FALSE)</f>
        <v>CMPC-D-CEL-C.PINARES-INTERNET-10000577752</v>
      </c>
      <c r="E51" s="35" t="str">
        <f>VLOOKUP(C51,[2]DATOS!$B$6:$E$1004,4,FALSE)</f>
        <v>10.234.150.114</v>
      </c>
      <c r="F51" s="35" t="str">
        <f>VLOOKUP(C51,[2]DATOS!$B$6:$P$1002,15,FALSE)</f>
        <v>CELULOSA</v>
      </c>
      <c r="G51" s="35" t="s">
        <v>759</v>
      </c>
      <c r="H51" s="35"/>
      <c r="I51" s="38" t="s">
        <v>833</v>
      </c>
      <c r="J51" s="35" t="s">
        <v>835</v>
      </c>
      <c r="K51" s="46">
        <v>45814.631249999999</v>
      </c>
      <c r="L51" s="39">
        <f t="shared" si="1"/>
        <v>1.0215277777751908</v>
      </c>
    </row>
    <row r="52" spans="1:12" s="37" customFormat="1" x14ac:dyDescent="0.25">
      <c r="A52" s="34">
        <v>45817.486111111109</v>
      </c>
      <c r="B52" s="35" t="s">
        <v>875</v>
      </c>
      <c r="C52" s="36">
        <v>7096170001</v>
      </c>
      <c r="D52" s="35" t="str">
        <f>VLOOKUP(C52,[2]DATOS!$B$6:$D$1004,3,FALSE)</f>
        <v>CMPC-C-CEL-PACIFICO-TELEFONIA-7096170001</v>
      </c>
      <c r="E52" s="35" t="str">
        <f>VLOOKUP(C52,[2]DATOS!$B$6:$E$1004,4,FALSE)</f>
        <v>10.96.2.164</v>
      </c>
      <c r="F52" s="35" t="str">
        <f>VLOOKUP(C52,[2]DATOS!$B$6:$P$1002,15,FALSE)</f>
        <v>PULP</v>
      </c>
      <c r="G52" s="35" t="s">
        <v>876</v>
      </c>
      <c r="H52" s="35" t="s">
        <v>877</v>
      </c>
      <c r="I52" s="38" t="s">
        <v>864</v>
      </c>
      <c r="J52" s="38" t="s">
        <v>835</v>
      </c>
      <c r="K52" s="46">
        <v>45817.799305555556</v>
      </c>
      <c r="L52" s="39">
        <f t="shared" si="1"/>
        <v>0.31319444444670808</v>
      </c>
    </row>
    <row r="53" spans="1:12" s="37" customFormat="1" x14ac:dyDescent="0.25">
      <c r="A53" s="34">
        <v>45818.239583333336</v>
      </c>
      <c r="B53" s="35" t="s">
        <v>814</v>
      </c>
      <c r="C53" s="36">
        <v>7823550001</v>
      </c>
      <c r="D53" s="35" t="str">
        <f>VLOOKUP(C53,[2]DATOS!$B$6:$D$1004,3,FALSE)</f>
        <v>CMPC-C-BIO-EDIPAC-QUILICURA-PRIN-7823550001-RESP-GTD</v>
      </c>
      <c r="E53" s="35" t="str">
        <f>VLOOKUP(C53,[2]DATOS!$B$6:$E$1004,4,FALSE)</f>
        <v>10.220.168.86</v>
      </c>
      <c r="F53" s="35" t="str">
        <f>VLOOKUP(C53,[2]DATOS!$B$6:$P$1002,15,FALSE)</f>
        <v>EDIPAC</v>
      </c>
      <c r="G53" s="35" t="s">
        <v>759</v>
      </c>
      <c r="H53" s="35"/>
      <c r="I53" s="38" t="s">
        <v>834</v>
      </c>
      <c r="J53" s="35" t="s">
        <v>14</v>
      </c>
      <c r="K53" s="46">
        <v>45819.543749999997</v>
      </c>
      <c r="L53" s="39">
        <f t="shared" si="1"/>
        <v>1.304166666661331</v>
      </c>
    </row>
    <row r="54" spans="1:12" s="37" customFormat="1" x14ac:dyDescent="0.25">
      <c r="A54" s="34">
        <v>45818.628472222219</v>
      </c>
      <c r="B54" s="35" t="s">
        <v>4</v>
      </c>
      <c r="C54" s="36">
        <v>6998890001</v>
      </c>
      <c r="D54" s="35" t="str">
        <f>VLOOKUP(C54,[2]DATOS!$B$6:$D$1004,3,FALSE)</f>
        <v>CMPC-D-CEL-TALCA-UNIC-6998890001</v>
      </c>
      <c r="E54" s="35" t="str">
        <f>VLOOKUP(C54,[2]DATOS!$B$6:$E$1004,4,FALSE)</f>
        <v>10.233.21.54</v>
      </c>
      <c r="F54" s="35" t="str">
        <f>VLOOKUP(C54,[2]DATOS!$B$6:$P$1002,15,FALSE)</f>
        <v>CELULOSA</v>
      </c>
      <c r="G54" s="35" t="s">
        <v>759</v>
      </c>
      <c r="H54" s="35"/>
      <c r="I54" s="38" t="s">
        <v>833</v>
      </c>
      <c r="J54" s="35" t="s">
        <v>835</v>
      </c>
      <c r="K54" s="46">
        <v>45818.707638888889</v>
      </c>
      <c r="L54" s="39">
        <f t="shared" si="1"/>
        <v>7.9166666670062114E-2</v>
      </c>
    </row>
    <row r="55" spans="1:12" s="37" customFormat="1" x14ac:dyDescent="0.25">
      <c r="A55" s="34">
        <v>45818.898611111108</v>
      </c>
      <c r="B55" s="35" t="s">
        <v>878</v>
      </c>
      <c r="C55" s="36">
        <v>10000024475</v>
      </c>
      <c r="D55" s="35" t="str">
        <f>VLOOKUP(C55,[2]DATOS!$B$6:$D$1004,3,FALSE)</f>
        <v>CMPC-D-BIO-SOREPA-PTOMONTT-PRIN-10000024475-RESP-GTD</v>
      </c>
      <c r="E55" s="35" t="str">
        <f>VLOOKUP(C55,[2]DATOS!$B$6:$E$1004,4,FALSE)</f>
        <v>10.220.168.170</v>
      </c>
      <c r="F55" s="35" t="str">
        <f>VLOOKUP(C55,[2]DATOS!$B$6:$P$1002,15,FALSE)</f>
        <v>CORRUGADO</v>
      </c>
      <c r="G55" s="35" t="s">
        <v>879</v>
      </c>
      <c r="H55" s="35" t="s">
        <v>882</v>
      </c>
      <c r="I55" s="38" t="s">
        <v>873</v>
      </c>
      <c r="J55" s="38" t="s">
        <v>14</v>
      </c>
      <c r="K55" s="46">
        <v>45819.411111111112</v>
      </c>
      <c r="L55" s="39">
        <f t="shared" si="1"/>
        <v>0.51250000000436557</v>
      </c>
    </row>
    <row r="56" spans="1:12" s="37" customFormat="1" x14ac:dyDescent="0.25">
      <c r="A56" s="34">
        <v>45819.402083333334</v>
      </c>
      <c r="B56" s="35" t="s">
        <v>815</v>
      </c>
      <c r="C56" s="36">
        <v>10000119172</v>
      </c>
      <c r="D56" s="35" t="str">
        <f>VLOOKUP(C56,[2]DATOS!$B$6:$D$1004,3,FALSE)</f>
        <v>CMPC-D-BIO-SOREPA-CHILLAN-UNIC-10000119172</v>
      </c>
      <c r="E56" s="35" t="str">
        <f>VLOOKUP(C56,[2]DATOS!$B$6:$E$1004,4,FALSE)</f>
        <v>10.220.168.42</v>
      </c>
      <c r="F56" s="35" t="str">
        <f>VLOOKUP(C56,[2]DATOS!$B$6:$P$1002,15,FALSE)</f>
        <v>CORRUGADO</v>
      </c>
      <c r="G56" s="35" t="s">
        <v>759</v>
      </c>
      <c r="H56" s="35"/>
      <c r="I56" s="38" t="s">
        <v>836</v>
      </c>
      <c r="J56" s="35" t="s">
        <v>14</v>
      </c>
      <c r="K56" s="46">
        <v>45819.49722222222</v>
      </c>
      <c r="L56" s="39">
        <f t="shared" si="1"/>
        <v>9.5138888886140194E-2</v>
      </c>
    </row>
    <row r="57" spans="1:12" s="37" customFormat="1" x14ac:dyDescent="0.25">
      <c r="A57" s="34">
        <v>45819.574305555558</v>
      </c>
      <c r="B57" s="35" t="s">
        <v>4</v>
      </c>
      <c r="C57" s="36">
        <v>10000514345</v>
      </c>
      <c r="D57" s="35" t="str">
        <f>VLOOKUP(C57,[2]DATOS!$B$6:$D$1004,3,FALSE)</f>
        <v>CMPC-D-CEL-CAPITAN-PASTENE-UNIC-10000514345</v>
      </c>
      <c r="E57" s="35" t="str">
        <f>VLOOKUP(C57,[2]DATOS!$B$6:$E$1004,4,FALSE)</f>
        <v>10.236.65.210</v>
      </c>
      <c r="F57" s="35" t="str">
        <f>VLOOKUP(C57,[2]DATOS!$B$6:$P$1002,15,FALSE)</f>
        <v>FORESTAL</v>
      </c>
      <c r="G57" s="35" t="s">
        <v>759</v>
      </c>
      <c r="H57" s="35"/>
      <c r="I57" s="38" t="s">
        <v>833</v>
      </c>
      <c r="J57" s="35" t="s">
        <v>835</v>
      </c>
      <c r="K57" s="46">
        <v>45819.592361111114</v>
      </c>
      <c r="L57" s="39">
        <f t="shared" si="1"/>
        <v>1.8055555556202307E-2</v>
      </c>
    </row>
    <row r="58" spans="1:12" s="37" customFormat="1" x14ac:dyDescent="0.25">
      <c r="A58" s="34">
        <v>45820.430555555555</v>
      </c>
      <c r="B58" s="35" t="s">
        <v>816</v>
      </c>
      <c r="C58" s="36">
        <v>6999100001</v>
      </c>
      <c r="D58" s="35" t="str">
        <f>VLOOKUP(C58,[2]DATOS!$B$6:$D$1004,3,FALSE)</f>
        <v>CMPC-D-BIO-SOREPA-PUDAHUEL-PRIN-6999100001-RESP-GTD</v>
      </c>
      <c r="E58" s="35" t="str">
        <f>VLOOKUP(C58,[2]DATOS!$B$6:$E$1004,4,FALSE)</f>
        <v>10.228.65.34</v>
      </c>
      <c r="F58" s="35" t="str">
        <f>VLOOKUP(C58,[2]DATOS!$B$6:$P$1002,15,FALSE)</f>
        <v>CORRUGADO</v>
      </c>
      <c r="G58" s="35" t="s">
        <v>759</v>
      </c>
      <c r="H58" s="35"/>
      <c r="I58" s="38" t="s">
        <v>836</v>
      </c>
      <c r="J58" s="35" t="s">
        <v>14</v>
      </c>
      <c r="K58" s="46">
        <v>45820.654861111114</v>
      </c>
      <c r="L58" s="39">
        <f t="shared" si="1"/>
        <v>0.22430555555911269</v>
      </c>
    </row>
    <row r="59" spans="1:12" s="37" customFormat="1" x14ac:dyDescent="0.25">
      <c r="A59" s="34">
        <v>45822.654861111114</v>
      </c>
      <c r="B59" s="35" t="s">
        <v>823</v>
      </c>
      <c r="C59" s="36">
        <v>10000000822</v>
      </c>
      <c r="D59" s="35" t="str">
        <f>VLOOKUP(C59,[2]DATOS!$B$6:$D$1004,3,FALSE)</f>
        <v>CMPC-C-CEL-MADERAS-PLANTA-CLEAR-PRIN-10000000822-RESP-GTD</v>
      </c>
      <c r="E59" s="35" t="str">
        <f>VLOOKUP(C59,[2]DATOS!$B$6:$E$1004,4,FALSE)</f>
        <v>10.228.65.66</v>
      </c>
      <c r="F59" s="35" t="str">
        <f>VLOOKUP(C59,[2]DATOS!$B$6:$P$1002,15,FALSE)</f>
        <v>MADERAS</v>
      </c>
      <c r="G59" s="35" t="s">
        <v>759</v>
      </c>
      <c r="H59" s="35"/>
      <c r="I59" s="38" t="s">
        <v>834</v>
      </c>
      <c r="J59" s="35" t="s">
        <v>14</v>
      </c>
      <c r="K59" s="46">
        <v>45824.668055555558</v>
      </c>
      <c r="L59" s="39">
        <f t="shared" si="1"/>
        <v>2.0131944444437977</v>
      </c>
    </row>
    <row r="60" spans="1:12" s="37" customFormat="1" x14ac:dyDescent="0.25">
      <c r="A60" s="34">
        <v>45822.886111111111</v>
      </c>
      <c r="B60" s="35" t="s">
        <v>4</v>
      </c>
      <c r="C60" s="36">
        <v>6999020001</v>
      </c>
      <c r="D60" s="35" t="str">
        <f>VLOOKUP(C60,[2]DATOS!$B$6:$D$1004,3,FALSE)</f>
        <v>CMPC-D-BIO-EDIPAC-CONCEPCION-PRIN-6999020001-RESP-GTD</v>
      </c>
      <c r="E60" s="35" t="str">
        <f>VLOOKUP(C60,[2]DATOS!$B$6:$E$1004,4,FALSE)</f>
        <v>10.220.168.70</v>
      </c>
      <c r="F60" s="35" t="str">
        <f>VLOOKUP(C60,[2]DATOS!$B$6:$P$1002,15,FALSE)</f>
        <v>EDIPAC</v>
      </c>
      <c r="G60" s="35" t="s">
        <v>759</v>
      </c>
      <c r="H60" s="35"/>
      <c r="I60" s="38" t="s">
        <v>833</v>
      </c>
      <c r="J60" s="35" t="s">
        <v>835</v>
      </c>
      <c r="K60" s="46">
        <v>45824.399305555555</v>
      </c>
      <c r="L60" s="39">
        <f t="shared" si="1"/>
        <v>1.5131944444437977</v>
      </c>
    </row>
    <row r="61" spans="1:12" s="37" customFormat="1" x14ac:dyDescent="0.25">
      <c r="A61" s="34">
        <v>45822.90347222222</v>
      </c>
      <c r="B61" s="35" t="s">
        <v>817</v>
      </c>
      <c r="C61" s="36">
        <v>7831420001</v>
      </c>
      <c r="D61" s="35" t="str">
        <f>VLOOKUP(C61,[2]DATOS!$B$6:$D$1004,3,FALSE)</f>
        <v>CMPC-D-CEL-MADERAS-CORONEL-PRIN-7831420001-RESP-GTD</v>
      </c>
      <c r="E61" s="35" t="str">
        <f>VLOOKUP(C61,[2]DATOS!$B$6:$E$1004,4,FALSE)</f>
        <v>10.220.168.234</v>
      </c>
      <c r="F61" s="35" t="str">
        <f>VLOOKUP(C61,[2]DATOS!$B$6:$P$1002,15,FALSE)</f>
        <v>MADERAS</v>
      </c>
      <c r="G61" s="35" t="s">
        <v>759</v>
      </c>
      <c r="H61" s="35"/>
      <c r="I61" s="38" t="s">
        <v>833</v>
      </c>
      <c r="J61" s="35" t="s">
        <v>835</v>
      </c>
      <c r="K61" s="46">
        <v>45823.965277777781</v>
      </c>
      <c r="L61" s="39">
        <f t="shared" si="1"/>
        <v>1.0618055555605679</v>
      </c>
    </row>
    <row r="62" spans="1:12" s="37" customFormat="1" x14ac:dyDescent="0.25">
      <c r="A62" s="34">
        <v>45822.96597222222</v>
      </c>
      <c r="B62" s="35" t="s">
        <v>821</v>
      </c>
      <c r="C62" s="36">
        <v>10000000824</v>
      </c>
      <c r="D62" s="35" t="str">
        <f>VLOOKUP(C62,[2]DATOS!$B$6:$D$1004,3,FALSE)</f>
        <v>CMPC-D-CEL-MADERAS-BUCALEMU-PRIN-10000000824-RESP-GTD</v>
      </c>
      <c r="E62" s="35" t="str">
        <f>VLOOKUP(C62,[2]DATOS!$B$6:$E$1004,4,FALSE)</f>
        <v>10.228.65.30</v>
      </c>
      <c r="F62" s="35" t="str">
        <f>VLOOKUP(C62,[2]DATOS!$B$6:$P$1002,15,FALSE)</f>
        <v>MADERAS</v>
      </c>
      <c r="G62" s="35" t="s">
        <v>759</v>
      </c>
      <c r="H62" s="35"/>
      <c r="I62" s="38" t="s">
        <v>834</v>
      </c>
      <c r="J62" s="35" t="s">
        <v>14</v>
      </c>
      <c r="K62" s="46">
        <v>45824.65</v>
      </c>
      <c r="L62" s="39">
        <f t="shared" si="1"/>
        <v>1.6840277777810115</v>
      </c>
    </row>
    <row r="63" spans="1:12" s="37" customFormat="1" x14ac:dyDescent="0.25">
      <c r="A63" s="34">
        <v>45823.126388888886</v>
      </c>
      <c r="B63" s="35" t="s">
        <v>831</v>
      </c>
      <c r="C63" s="36">
        <v>10000000853</v>
      </c>
      <c r="D63" s="35" t="str">
        <f>VLOOKUP(C63,[2]DATOS!$B$6:$D$1004,3,FALSE)</f>
        <v>CMPC-D-CEL-MADERAS-MULCHEN-PRIN-10000000853-RESP-GTD</v>
      </c>
      <c r="E63" s="35" t="str">
        <f>VLOOKUP(C63,[2]DATOS!$B$6:$E$1004,4,FALSE)</f>
        <v>10.228.65.62</v>
      </c>
      <c r="F63" s="35" t="str">
        <f>VLOOKUP(C63,[2]DATOS!$B$6:$P$1002,15,FALSE)</f>
        <v>MADERAS</v>
      </c>
      <c r="G63" s="35" t="s">
        <v>759</v>
      </c>
      <c r="H63" s="35"/>
      <c r="I63" s="38" t="s">
        <v>833</v>
      </c>
      <c r="J63" s="35" t="s">
        <v>835</v>
      </c>
      <c r="K63" s="46">
        <v>45823.555555555555</v>
      </c>
      <c r="L63" s="39">
        <f t="shared" si="1"/>
        <v>0.42916666666860692</v>
      </c>
    </row>
    <row r="64" spans="1:12" s="37" customFormat="1" x14ac:dyDescent="0.25">
      <c r="A64" s="34">
        <v>45823.161111111112</v>
      </c>
      <c r="B64" s="35" t="s">
        <v>820</v>
      </c>
      <c r="C64" s="36">
        <v>7810530001</v>
      </c>
      <c r="D64" s="35" t="str">
        <f>VLOOKUP(C64,[2]DATOS!$B$6:$D$1004,3,FALSE)</f>
        <v>CMPC-C-CEL-PORTUARIA-LIRQUEN-PRIN-7810530001-RESP-GTD</v>
      </c>
      <c r="E64" s="35" t="str">
        <f>VLOOKUP(C64,[2]DATOS!$B$6:$E$1004,4,FALSE)</f>
        <v>10.220.168.222</v>
      </c>
      <c r="F64" s="35" t="str">
        <f>VLOOKUP(C64,[2]DATOS!$B$6:$P$1002,15,FALSE)</f>
        <v>CELULOSA</v>
      </c>
      <c r="G64" s="35" t="s">
        <v>759</v>
      </c>
      <c r="H64" s="35"/>
      <c r="I64" s="38" t="s">
        <v>836</v>
      </c>
      <c r="J64" s="35" t="s">
        <v>14</v>
      </c>
      <c r="K64" s="46">
        <v>45825.703472222223</v>
      </c>
      <c r="L64" s="39">
        <f t="shared" si="1"/>
        <v>2.5423611111109494</v>
      </c>
    </row>
    <row r="65" spans="1:12" s="37" customFormat="1" ht="14.25" customHeight="1" x14ac:dyDescent="0.25">
      <c r="A65" s="34">
        <v>45823.234722222223</v>
      </c>
      <c r="B65" s="35" t="s">
        <v>819</v>
      </c>
      <c r="C65" s="36">
        <v>10000577752</v>
      </c>
      <c r="D65" s="35" t="str">
        <f>VLOOKUP(C65,[2]DATOS!$B$6:$D$1004,3,FALSE)</f>
        <v>CMPC-D-CEL-C.PINARES-INTERNET-10000577752</v>
      </c>
      <c r="E65" s="35" t="str">
        <f>VLOOKUP(C65,[2]DATOS!$B$6:$E$1004,4,FALSE)</f>
        <v>10.234.150.114</v>
      </c>
      <c r="F65" s="35" t="str">
        <f>VLOOKUP(C65,[2]DATOS!$B$6:$P$1002,15,FALSE)</f>
        <v>CELULOSA</v>
      </c>
      <c r="G65" s="35" t="s">
        <v>759</v>
      </c>
      <c r="H65" s="35"/>
      <c r="I65" s="38" t="s">
        <v>833</v>
      </c>
      <c r="J65" s="35" t="s">
        <v>835</v>
      </c>
      <c r="K65" s="46">
        <v>45824.492361111108</v>
      </c>
      <c r="L65" s="39">
        <f t="shared" si="1"/>
        <v>1.257638888884685</v>
      </c>
    </row>
    <row r="66" spans="1:12" s="37" customFormat="1" x14ac:dyDescent="0.25">
      <c r="A66" s="34">
        <v>45823.247916666667</v>
      </c>
      <c r="B66" s="35" t="s">
        <v>822</v>
      </c>
      <c r="C66" s="36">
        <v>10000691052</v>
      </c>
      <c r="D66" s="35" t="str">
        <f>VLOOKUP(C66,[2]DATOS!$B$6:$D$1004,3,FALSE)</f>
        <v>CMPC-E-CABRERO-UNIC-10000691052</v>
      </c>
      <c r="E66" s="35" t="str">
        <f>VLOOKUP(C66,[2]DATOS!$B$6:$E$1004,4,FALSE)</f>
        <v>10.232.242.96</v>
      </c>
      <c r="F66" s="35">
        <f>VLOOKUP(C66,[2]DATOS!$B$6:$P$1002,15,FALSE)</f>
        <v>0</v>
      </c>
      <c r="G66" s="35" t="s">
        <v>759</v>
      </c>
      <c r="H66" s="35"/>
      <c r="I66" s="38" t="s">
        <v>834</v>
      </c>
      <c r="J66" s="35" t="s">
        <v>14</v>
      </c>
      <c r="K66" s="46">
        <v>45824.76666666667</v>
      </c>
      <c r="L66" s="39">
        <f t="shared" ref="L66:L85" si="2">K66-A66</f>
        <v>1.5187500000029104</v>
      </c>
    </row>
    <row r="67" spans="1:12" s="37" customFormat="1" x14ac:dyDescent="0.25">
      <c r="A67" s="34">
        <v>45823.540972222225</v>
      </c>
      <c r="B67" s="35" t="s">
        <v>818</v>
      </c>
      <c r="C67" s="36">
        <v>6998930001</v>
      </c>
      <c r="D67" s="35" t="str">
        <f>VLOOKUP(C67,[2]DATOS!$B$6:$D$1004,3,FALSE)</f>
        <v>CMPC-D-CEL-CHARRUA-UNIC-6998930001</v>
      </c>
      <c r="E67" s="35" t="str">
        <f>VLOOKUP(C67,[2]DATOS!$B$6:$E$1004,4,FALSE)</f>
        <v>10.221.19.142</v>
      </c>
      <c r="F67" s="35" t="str">
        <f>VLOOKUP(C67,[2]DATOS!$B$6:$P$1002,15,FALSE)</f>
        <v>CELULOSA</v>
      </c>
      <c r="G67" s="35" t="s">
        <v>759</v>
      </c>
      <c r="H67" s="35"/>
      <c r="I67" s="38" t="s">
        <v>834</v>
      </c>
      <c r="J67" s="35" t="s">
        <v>14</v>
      </c>
      <c r="K67" s="46">
        <v>45824.677777777775</v>
      </c>
      <c r="L67" s="39">
        <f t="shared" si="2"/>
        <v>1.1368055555503815</v>
      </c>
    </row>
    <row r="68" spans="1:12" s="37" customFormat="1" x14ac:dyDescent="0.25">
      <c r="A68" s="34">
        <v>45824.48333333333</v>
      </c>
      <c r="B68" s="35" t="s">
        <v>880</v>
      </c>
      <c r="C68" s="36">
        <v>10000581483</v>
      </c>
      <c r="D68" s="35" t="str">
        <f>VLOOKUP(C68,[2]DATOS!$B$6:$D$1004,3,FALSE)</f>
        <v>CMPC-D-CEL-MADERAS-BUCALEMU-UPS-10000581483</v>
      </c>
      <c r="E68" s="35" t="str">
        <f>VLOOKUP(C68,[2]DATOS!$B$6:$E$1004,4,FALSE)</f>
        <v>10.236.111.30</v>
      </c>
      <c r="F68" s="35" t="str">
        <f>VLOOKUP(C68,[2]DATOS!$B$6:$P$1002,15,FALSE)</f>
        <v>MADERAS</v>
      </c>
      <c r="G68" s="35" t="s">
        <v>881</v>
      </c>
      <c r="H68" s="35" t="s">
        <v>883</v>
      </c>
      <c r="I68" s="38" t="s">
        <v>864</v>
      </c>
      <c r="J68" s="38" t="s">
        <v>14</v>
      </c>
      <c r="K68" s="46">
        <v>45825.541666666664</v>
      </c>
      <c r="L68" s="39">
        <f t="shared" si="2"/>
        <v>1.0583333333343035</v>
      </c>
    </row>
    <row r="69" spans="1:12" s="37" customFormat="1" x14ac:dyDescent="0.25">
      <c r="A69" s="34">
        <v>45825.195138888892</v>
      </c>
      <c r="B69" s="35" t="s">
        <v>832</v>
      </c>
      <c r="C69" s="36">
        <v>10000000824</v>
      </c>
      <c r="D69" s="35" t="str">
        <f>VLOOKUP(C69,[2]DATOS!$B$6:$D$1004,3,FALSE)</f>
        <v>CMPC-D-CEL-MADERAS-BUCALEMU-PRIN-10000000824-RESP-GTD</v>
      </c>
      <c r="E69" s="35" t="str">
        <f>VLOOKUP(C69,[2]DATOS!$B$6:$E$1004,4,FALSE)</f>
        <v>10.228.65.30</v>
      </c>
      <c r="F69" s="35" t="str">
        <f>VLOOKUP(C69,[2]DATOS!$B$6:$P$1002,15,FALSE)</f>
        <v>MADERAS</v>
      </c>
      <c r="G69" s="35" t="s">
        <v>759</v>
      </c>
      <c r="H69" s="35"/>
      <c r="I69" s="38" t="s">
        <v>834</v>
      </c>
      <c r="J69" s="35" t="s">
        <v>14</v>
      </c>
      <c r="K69" s="46">
        <v>45825.462500000001</v>
      </c>
      <c r="L69" s="39">
        <f t="shared" si="2"/>
        <v>0.26736111110949423</v>
      </c>
    </row>
    <row r="70" spans="1:12" s="37" customFormat="1" x14ac:dyDescent="0.25">
      <c r="A70" s="34">
        <v>45825.44027777778</v>
      </c>
      <c r="B70" s="35" t="s">
        <v>884</v>
      </c>
      <c r="C70" s="36">
        <v>10000581655</v>
      </c>
      <c r="D70" s="35" t="str">
        <f>VLOOKUP(C70,[2]DATOS!$B$6:$D$1004,3,FALSE)</f>
        <v xml:space="preserve">CMPC-D-BIO-EDIPAC-CONCEPCION-UPS-10000581655 </v>
      </c>
      <c r="E70" s="35" t="str">
        <f>VLOOKUP(C70,[2]DATOS!$B$6:$E$1004,4,FALSE)</f>
        <v>10.234.179.30</v>
      </c>
      <c r="F70" s="35" t="str">
        <f>VLOOKUP(C70,[2]DATOS!$B$6:$P$1002,15,FALSE)</f>
        <v>EDIPAC</v>
      </c>
      <c r="G70" s="35" t="s">
        <v>881</v>
      </c>
      <c r="H70" s="35" t="s">
        <v>885</v>
      </c>
      <c r="I70" s="38" t="s">
        <v>864</v>
      </c>
      <c r="J70" s="38" t="s">
        <v>14</v>
      </c>
      <c r="K70" s="46">
        <v>45826.459027777775</v>
      </c>
      <c r="L70" s="39">
        <f t="shared" si="2"/>
        <v>1.0187499999956344</v>
      </c>
    </row>
    <row r="71" spans="1:12" s="37" customFormat="1" x14ac:dyDescent="0.25">
      <c r="A71" s="34">
        <v>45827.929861111108</v>
      </c>
      <c r="B71" s="35" t="s">
        <v>886</v>
      </c>
      <c r="C71" s="36">
        <v>10000000853</v>
      </c>
      <c r="D71" s="35" t="str">
        <f>VLOOKUP(C71,[2]DATOS!$B$6:$D$1004,3,FALSE)</f>
        <v>CMPC-D-CEL-MADERAS-MULCHEN-PRIN-10000000853-RESP-GTD</v>
      </c>
      <c r="E71" s="35" t="str">
        <f>VLOOKUP(C71,[2]DATOS!$B$6:$E$1004,4,FALSE)</f>
        <v>10.228.65.62</v>
      </c>
      <c r="F71" s="35" t="str">
        <f>VLOOKUP(C71,[2]DATOS!$B$6:$P$1002,15,FALSE)</f>
        <v>MADERAS</v>
      </c>
      <c r="G71" s="35" t="s">
        <v>759</v>
      </c>
      <c r="H71" s="35" t="s">
        <v>887</v>
      </c>
      <c r="I71" s="38" t="s">
        <v>864</v>
      </c>
      <c r="J71" s="38" t="s">
        <v>14</v>
      </c>
      <c r="K71" s="46">
        <v>45827.976388888892</v>
      </c>
      <c r="L71" s="39">
        <f t="shared" si="2"/>
        <v>4.652777778392192E-2</v>
      </c>
    </row>
    <row r="72" spans="1:12" s="37" customFormat="1" x14ac:dyDescent="0.25">
      <c r="A72" s="34">
        <v>45828.415972222225</v>
      </c>
      <c r="B72" s="35" t="s">
        <v>851</v>
      </c>
      <c r="C72" s="36">
        <v>6999080001</v>
      </c>
      <c r="D72" s="35" t="str">
        <f>VLOOKUP(C72,[2]DATOS!$B$6:$D$1004,3,FALSE)</f>
        <v>CMPC-D-BIO-SOREPA-COQUIMBO-PRIN-6999080001-RESP-GTD</v>
      </c>
      <c r="E72" s="35" t="str">
        <f>VLOOKUP(C72,[2]DATOS!$B$6:$E$1004,4,FALSE)</f>
        <v>10.220.168.118</v>
      </c>
      <c r="F72" s="35" t="str">
        <f>VLOOKUP(C72,[2]DATOS!$B$6:$P$1002,15,FALSE)</f>
        <v>CORRUGADO</v>
      </c>
      <c r="G72" s="35" t="s">
        <v>759</v>
      </c>
      <c r="H72" s="35" t="s">
        <v>852</v>
      </c>
      <c r="I72" s="38" t="s">
        <v>834</v>
      </c>
      <c r="J72" s="35" t="s">
        <v>14</v>
      </c>
      <c r="K72" s="46">
        <v>45828.689583333333</v>
      </c>
      <c r="L72" s="39">
        <f t="shared" si="2"/>
        <v>0.27361111110803904</v>
      </c>
    </row>
    <row r="73" spans="1:12" s="37" customFormat="1" x14ac:dyDescent="0.25">
      <c r="A73" s="34">
        <v>45829.42291666667</v>
      </c>
      <c r="B73" s="35" t="s">
        <v>4</v>
      </c>
      <c r="C73" s="36">
        <v>10000612357</v>
      </c>
      <c r="D73" s="35" t="str">
        <f>VLOOKUP(C73,[2]DATOS!$B$6:$D$1004,3,FALSE)</f>
        <v>CMPC-C-CEL-FORSAC-CHILLAN-INTERNET-10000612357</v>
      </c>
      <c r="E73" s="35" t="str">
        <f>VLOOKUP(C73,[2]DATOS!$B$6:$E$1004,4,FALSE)</f>
        <v>10.253.196.170</v>
      </c>
      <c r="F73" s="35" t="str">
        <f>VLOOKUP(C73,[2]DATOS!$B$6:$P$1002,15,FALSE)</f>
        <v>SACK KRAFT</v>
      </c>
      <c r="G73" s="35" t="s">
        <v>759</v>
      </c>
      <c r="H73" s="35" t="s">
        <v>853</v>
      </c>
      <c r="I73" s="35" t="s">
        <v>833</v>
      </c>
      <c r="J73" s="35" t="s">
        <v>835</v>
      </c>
      <c r="K73" s="46">
        <v>45830.629861111112</v>
      </c>
      <c r="L73" s="39">
        <f t="shared" si="2"/>
        <v>1.2069444444423425</v>
      </c>
    </row>
    <row r="74" spans="1:12" s="37" customFormat="1" x14ac:dyDescent="0.25">
      <c r="A74" s="34">
        <v>45830.042361111111</v>
      </c>
      <c r="B74" s="35" t="s">
        <v>854</v>
      </c>
      <c r="C74" s="36">
        <v>10000006824</v>
      </c>
      <c r="D74" s="35" t="str">
        <f>VLOOKUP(C74,[2]DATOS!$B$6:$D$1004,3,FALSE)</f>
        <v>CMPC-C-SOFTYS-PTE-ALTO-PRIN-10000006824-RESP-GTD</v>
      </c>
      <c r="E74" s="35" t="str">
        <f>VLOOKUP(C74,[2]DATOS!$B$6:$E$1004,4,FALSE)</f>
        <v>10.221.19.38</v>
      </c>
      <c r="F74" s="35" t="str">
        <f>VLOOKUP(C74,[2]DATOS!$B$6:$P$1002,15,FALSE)</f>
        <v>SOFTYS</v>
      </c>
      <c r="G74" s="35" t="s">
        <v>759</v>
      </c>
      <c r="H74" s="35" t="s">
        <v>855</v>
      </c>
      <c r="I74" s="38" t="s">
        <v>833</v>
      </c>
      <c r="J74" s="35" t="s">
        <v>835</v>
      </c>
      <c r="K74" s="46">
        <v>45830.36041666667</v>
      </c>
      <c r="L74" s="39">
        <f t="shared" si="2"/>
        <v>0.31805555555911269</v>
      </c>
    </row>
    <row r="75" spans="1:12" s="37" customFormat="1" x14ac:dyDescent="0.25">
      <c r="A75" s="34">
        <v>45831.450694444444</v>
      </c>
      <c r="B75" s="35" t="s">
        <v>888</v>
      </c>
      <c r="C75" s="36">
        <v>10000002079</v>
      </c>
      <c r="D75" s="35" t="str">
        <f>VLOOKUP(C75,[2]DATOS!$B$6:$D$1004,3,FALSE)</f>
        <v>CMPC-D-BIO-TERCEROS-LM-UNIC-10000002079</v>
      </c>
      <c r="E75" s="35" t="str">
        <f>VLOOKUP(C75,[2]DATOS!$B$6:$E$1004,4,FALSE)</f>
        <v>10.220.113.90</v>
      </c>
      <c r="F75" s="35" t="str">
        <f>VLOOKUP(C75,[2]DATOS!$B$6:$P$1002,15,FALSE)</f>
        <v>BOXBOARD</v>
      </c>
      <c r="G75" s="35" t="s">
        <v>889</v>
      </c>
      <c r="H75" s="35" t="s">
        <v>890</v>
      </c>
      <c r="I75" s="38" t="s">
        <v>862</v>
      </c>
      <c r="J75" s="38" t="s">
        <v>835</v>
      </c>
      <c r="K75" s="46">
        <v>45831.584722222222</v>
      </c>
      <c r="L75" s="39">
        <f t="shared" si="2"/>
        <v>0.13402777777810115</v>
      </c>
    </row>
    <row r="76" spans="1:12" s="37" customFormat="1" x14ac:dyDescent="0.25">
      <c r="A76" s="34">
        <v>45832.42291666667</v>
      </c>
      <c r="B76" s="35" t="s">
        <v>891</v>
      </c>
      <c r="C76" s="36">
        <v>10000581655</v>
      </c>
      <c r="D76" s="35" t="str">
        <f>VLOOKUP(C76,[2]DATOS!$B$6:$D$1004,3,FALSE)</f>
        <v xml:space="preserve">CMPC-D-BIO-EDIPAC-CONCEPCION-UPS-10000581655 </v>
      </c>
      <c r="E76" s="35" t="str">
        <f>VLOOKUP(C76,[2]DATOS!$B$6:$E$1004,4,FALSE)</f>
        <v>10.234.179.30</v>
      </c>
      <c r="F76" s="35" t="str">
        <f>VLOOKUP(C76,[2]DATOS!$B$6:$P$1002,15,FALSE)</f>
        <v>EDIPAC</v>
      </c>
      <c r="G76" s="35" t="s">
        <v>895</v>
      </c>
      <c r="H76" s="35" t="s">
        <v>892</v>
      </c>
      <c r="I76" s="38" t="s">
        <v>874</v>
      </c>
      <c r="J76" s="38" t="s">
        <v>14</v>
      </c>
      <c r="K76" s="46">
        <v>45832.586805555555</v>
      </c>
      <c r="L76" s="39">
        <f t="shared" si="2"/>
        <v>0.163888888884685</v>
      </c>
    </row>
    <row r="77" spans="1:12" s="37" customFormat="1" x14ac:dyDescent="0.25">
      <c r="A77" s="34">
        <v>45832.488888888889</v>
      </c>
      <c r="B77" s="35" t="s">
        <v>893</v>
      </c>
      <c r="C77" s="36">
        <v>10000567899</v>
      </c>
      <c r="D77" s="35" t="e">
        <f>VLOOKUP(C77,[2]DATOS!$B$6:$D$1004,3,FALSE)</f>
        <v>#N/A</v>
      </c>
      <c r="E77" s="35" t="e">
        <f>VLOOKUP(C77,[2]DATOS!$B$6:$E$1004,4,FALSE)</f>
        <v>#N/A</v>
      </c>
      <c r="F77" s="35" t="e">
        <f>VLOOKUP(C77,[2]DATOS!$B$6:$P$1002,15,FALSE)</f>
        <v>#N/A</v>
      </c>
      <c r="G77" s="35" t="s">
        <v>895</v>
      </c>
      <c r="H77" s="35" t="s">
        <v>896</v>
      </c>
      <c r="I77" s="38" t="s">
        <v>874</v>
      </c>
      <c r="J77" s="38" t="s">
        <v>14</v>
      </c>
      <c r="K77" s="46">
        <v>45834.595138888886</v>
      </c>
      <c r="L77" s="39">
        <f t="shared" si="2"/>
        <v>2.1062499999970896</v>
      </c>
    </row>
    <row r="78" spans="1:12" s="37" customFormat="1" x14ac:dyDescent="0.25">
      <c r="A78" s="34">
        <v>45834.488888888889</v>
      </c>
      <c r="B78" s="35" t="s">
        <v>897</v>
      </c>
      <c r="C78" s="36">
        <v>10000058627</v>
      </c>
      <c r="D78" s="35" t="str">
        <f>VLOOKUP(C78,[2]DATOS!$B$6:$D$1004,3,FALSE)</f>
        <v>CMPC-C-CEL-PACIFICO-PRIN-10000058627</v>
      </c>
      <c r="E78" s="35" t="str">
        <f>VLOOKUP(C78,[2]DATOS!$B$6:$E$1004,4,FALSE)</f>
        <v>10.221.19.102</v>
      </c>
      <c r="F78" s="35" t="str">
        <f>VLOOKUP(C78,[2]DATOS!$B$6:$P$1002,15,FALSE)</f>
        <v>PULP</v>
      </c>
      <c r="G78" s="35" t="s">
        <v>876</v>
      </c>
      <c r="H78" s="35" t="s">
        <v>898</v>
      </c>
      <c r="I78" s="38" t="s">
        <v>864</v>
      </c>
      <c r="J78" s="38" t="s">
        <v>835</v>
      </c>
      <c r="K78" s="46">
        <v>45835.579861111109</v>
      </c>
      <c r="L78" s="39">
        <f t="shared" si="2"/>
        <v>1.0909722222204437</v>
      </c>
    </row>
    <row r="79" spans="1:12" s="37" customFormat="1" x14ac:dyDescent="0.25">
      <c r="A79" s="34">
        <v>45835.481249999997</v>
      </c>
      <c r="B79" s="35" t="s">
        <v>4</v>
      </c>
      <c r="C79" s="36">
        <v>10000711182</v>
      </c>
      <c r="D79" s="35" t="str">
        <f>VLOOKUP(C79,[2]DATOS!$B$6:$D$1004,3,FALSE)</f>
        <v>CMPC-SOREPA-TALCA-10000711182</v>
      </c>
      <c r="E79" s="35" t="str">
        <f>VLOOKUP(C79,[2]DATOS!$B$6:$E$1004,4,FALSE)</f>
        <v>10.233.198.42</v>
      </c>
      <c r="F79" s="35" t="str">
        <f>VLOOKUP(C79,[2]DATOS!$B$6:$P$1002,15,FALSE)</f>
        <v>SOREPA</v>
      </c>
      <c r="G79" s="35" t="s">
        <v>759</v>
      </c>
      <c r="H79" s="35" t="s">
        <v>863</v>
      </c>
      <c r="I79" s="38" t="s">
        <v>833</v>
      </c>
      <c r="J79" s="38" t="s">
        <v>835</v>
      </c>
      <c r="K79" s="46">
        <v>45838.328472222223</v>
      </c>
      <c r="L79" s="39">
        <f t="shared" si="2"/>
        <v>2.8472222222262644</v>
      </c>
    </row>
    <row r="80" spans="1:12" s="37" customFormat="1" x14ac:dyDescent="0.25">
      <c r="A80" s="34">
        <v>45835.501388888886</v>
      </c>
      <c r="B80" s="35" t="s">
        <v>856</v>
      </c>
      <c r="C80" s="36">
        <v>6935210001</v>
      </c>
      <c r="D80" s="35" t="str">
        <f>VLOOKUP(C80,[2]DATOS!$B$6:$D$1004,3,FALSE)</f>
        <v>CMPC-C-BIO-CARTULINAS-VALDIVIA-PRIN-6935210001-RESP-GTD</v>
      </c>
      <c r="E80" s="35" t="str">
        <f>VLOOKUP(C80,[2]DATOS!$B$6:$E$1004,4,FALSE)</f>
        <v>10.228.65.26</v>
      </c>
      <c r="F80" s="35" t="str">
        <f>VLOOKUP(C80,[2]DATOS!$B$6:$P$1002,15,FALSE)</f>
        <v>BOXBOARD</v>
      </c>
      <c r="G80" s="35" t="s">
        <v>759</v>
      </c>
      <c r="H80" s="35" t="s">
        <v>857</v>
      </c>
      <c r="I80" s="38" t="s">
        <v>836</v>
      </c>
      <c r="J80" s="35" t="s">
        <v>14</v>
      </c>
      <c r="K80" s="46">
        <v>45835.563194444447</v>
      </c>
      <c r="L80" s="39">
        <f t="shared" si="2"/>
        <v>6.1805555560567882E-2</v>
      </c>
    </row>
    <row r="81" spans="1:12" s="37" customFormat="1" x14ac:dyDescent="0.25">
      <c r="A81" s="34">
        <v>45837.613888888889</v>
      </c>
      <c r="B81" s="35" t="s">
        <v>860</v>
      </c>
      <c r="C81" s="36">
        <v>10000000822</v>
      </c>
      <c r="D81" s="35" t="str">
        <f>VLOOKUP(C81,[2]DATOS!$B$6:$D$1004,3,FALSE)</f>
        <v>CMPC-C-CEL-MADERAS-PLANTA-CLEAR-PRIN-10000000822-RESP-GTD</v>
      </c>
      <c r="E81" s="35" t="str">
        <f>VLOOKUP(C81,[2]DATOS!$B$6:$E$1004,4,FALSE)</f>
        <v>10.228.65.66</v>
      </c>
      <c r="F81" s="35" t="str">
        <f>VLOOKUP(C81,[2]DATOS!$B$6:$P$1002,15,FALSE)</f>
        <v>MADERAS</v>
      </c>
      <c r="G81" s="35" t="s">
        <v>759</v>
      </c>
      <c r="H81" s="35" t="s">
        <v>861</v>
      </c>
      <c r="I81" s="38" t="s">
        <v>833</v>
      </c>
      <c r="J81" s="35" t="s">
        <v>835</v>
      </c>
      <c r="K81" s="46">
        <v>45837.629166666666</v>
      </c>
      <c r="L81" s="39">
        <f t="shared" si="2"/>
        <v>1.5277777776645962E-2</v>
      </c>
    </row>
    <row r="82" spans="1:12" s="37" customFormat="1" x14ac:dyDescent="0.25">
      <c r="A82" s="34">
        <v>45837.693749999999</v>
      </c>
      <c r="B82" s="35" t="s">
        <v>858</v>
      </c>
      <c r="C82" s="36">
        <v>10000457638</v>
      </c>
      <c r="D82" s="35" t="str">
        <f>VLOOKUP(C82,[2]DATOS!$B$6:$D$1004,3,FALSE)</f>
        <v>CMPC-C-SOFTYS-LO-ECHEVERS-CD-PRIN-10000457638</v>
      </c>
      <c r="E82" s="35" t="str">
        <f>VLOOKUP(C82,[2]DATOS!$B$6:$E$1004,4,FALSE)</f>
        <v>10.235.254.138</v>
      </c>
      <c r="F82" s="35" t="str">
        <f>VLOOKUP(C82,[2]DATOS!$B$6:$P$1002,15,FALSE)</f>
        <v>SOFTYS</v>
      </c>
      <c r="G82" s="35" t="s">
        <v>759</v>
      </c>
      <c r="H82" s="35" t="s">
        <v>859</v>
      </c>
      <c r="I82" s="38" t="s">
        <v>862</v>
      </c>
      <c r="J82" s="35" t="s">
        <v>835</v>
      </c>
      <c r="K82" s="46">
        <v>45837.731944444444</v>
      </c>
      <c r="L82" s="39">
        <f t="shared" si="2"/>
        <v>3.8194444445252884E-2</v>
      </c>
    </row>
    <row r="83" spans="1:12" s="37" customFormat="1" x14ac:dyDescent="0.25">
      <c r="A83" s="34">
        <v>45838.606249999997</v>
      </c>
      <c r="B83" s="35" t="s">
        <v>4</v>
      </c>
      <c r="C83" s="36">
        <v>10000711182</v>
      </c>
      <c r="D83" s="35" t="str">
        <f>VLOOKUP(C83,[2]DATOS!$B$6:$D$1004,3,FALSE)</f>
        <v>CMPC-SOREPA-TALCA-10000711182</v>
      </c>
      <c r="E83" s="35" t="str">
        <f>VLOOKUP(C83,[2]DATOS!$B$6:$E$1004,4,FALSE)</f>
        <v>10.233.198.42</v>
      </c>
      <c r="F83" s="35" t="str">
        <f>VLOOKUP(C83,[2]DATOS!$B$6:$P$1002,15,FALSE)</f>
        <v>SOREPA</v>
      </c>
      <c r="G83" s="35" t="s">
        <v>759</v>
      </c>
      <c r="H83" s="35" t="s">
        <v>863</v>
      </c>
      <c r="I83" s="38" t="s">
        <v>833</v>
      </c>
      <c r="J83" s="38" t="s">
        <v>835</v>
      </c>
      <c r="K83" s="46">
        <v>45839.411805555559</v>
      </c>
      <c r="L83" s="39">
        <f t="shared" si="2"/>
        <v>0.80555555556202307</v>
      </c>
    </row>
    <row r="84" spans="1:12" s="37" customFormat="1" x14ac:dyDescent="0.25">
      <c r="A84" s="34">
        <v>45838.776388888888</v>
      </c>
      <c r="B84" s="41" t="s">
        <v>866</v>
      </c>
      <c r="C84" s="36">
        <v>10000000822</v>
      </c>
      <c r="D84" s="35" t="str">
        <f>VLOOKUP(C84,[2]DATOS!$B$6:$D$1004,3,FALSE)</f>
        <v>CMPC-C-CEL-MADERAS-PLANTA-CLEAR-PRIN-10000000822-RESP-GTD</v>
      </c>
      <c r="E84" s="35" t="str">
        <f>VLOOKUP(C84,[2]DATOS!$B$6:$E$1004,4,FALSE)</f>
        <v>10.228.65.66</v>
      </c>
      <c r="F84" s="35" t="str">
        <f>VLOOKUP(C84,[2]DATOS!$B$6:$P$1002,15,FALSE)</f>
        <v>MADERAS</v>
      </c>
      <c r="G84" s="35" t="s">
        <v>759</v>
      </c>
      <c r="H84" s="35" t="s">
        <v>865</v>
      </c>
      <c r="I84" s="38" t="s">
        <v>833</v>
      </c>
      <c r="J84" s="38" t="s">
        <v>835</v>
      </c>
      <c r="K84" s="46">
        <v>45838.810416666667</v>
      </c>
      <c r="L84" s="39">
        <f t="shared" si="2"/>
        <v>3.4027777779556345E-2</v>
      </c>
    </row>
    <row r="85" spans="1:12" s="37" customFormat="1" x14ac:dyDescent="0.25">
      <c r="A85" s="34">
        <v>45839.156944444447</v>
      </c>
      <c r="B85" s="35" t="s">
        <v>867</v>
      </c>
      <c r="C85" s="36">
        <v>6963530001</v>
      </c>
      <c r="D85" s="35" t="str">
        <f>VLOOKUP(C85,[2]DATOS!$B$6:$D$1004,3,FALSE)</f>
        <v>CMPC-D-CEL-FORMIN-ANGOL-UNIC-6963530001</v>
      </c>
      <c r="E85" s="35" t="str">
        <f>VLOOKUP(C85,[2]DATOS!$B$6:$E$1004,4,FALSE)</f>
        <v>10.220.168.246</v>
      </c>
      <c r="F85" s="35" t="str">
        <f>VLOOKUP(C85,[2]DATOS!$B$6:$P$1002,15,FALSE)</f>
        <v>FORESTAL</v>
      </c>
      <c r="G85" s="35" t="s">
        <v>759</v>
      </c>
      <c r="H85" s="35" t="s">
        <v>865</v>
      </c>
      <c r="I85" s="38" t="s">
        <v>833</v>
      </c>
      <c r="J85" s="38" t="s">
        <v>835</v>
      </c>
      <c r="K85" s="46">
        <v>45839.433333333334</v>
      </c>
      <c r="L85" s="39">
        <f t="shared" si="2"/>
        <v>0.27638888888759539</v>
      </c>
    </row>
    <row r="86" spans="1:12" s="37" customFormat="1" x14ac:dyDescent="0.25">
      <c r="A86" s="34">
        <v>45839.395833333336</v>
      </c>
      <c r="B86" s="37" t="s">
        <v>868</v>
      </c>
      <c r="C86" s="36">
        <v>6998890001</v>
      </c>
      <c r="D86" s="35" t="str">
        <f>VLOOKUP(C86,[2]DATOS!$B$6:$D$1004,3,FALSE)</f>
        <v>CMPC-D-CEL-TALCA-UNIC-6998890001</v>
      </c>
      <c r="E86" s="35" t="str">
        <f>VLOOKUP(C86,[2]DATOS!$B$6:$E$1004,4,FALSE)</f>
        <v>10.233.21.54</v>
      </c>
      <c r="F86" s="35" t="str">
        <f>VLOOKUP(C86,[2]DATOS!$B$6:$P$1002,15,FALSE)</f>
        <v>CELULOSA</v>
      </c>
      <c r="G86" s="35" t="s">
        <v>759</v>
      </c>
      <c r="H86" s="35" t="s">
        <v>869</v>
      </c>
      <c r="I86" s="38" t="s">
        <v>836</v>
      </c>
      <c r="J86" s="38" t="s">
        <v>14</v>
      </c>
      <c r="K86" s="46">
        <v>45839.681250000001</v>
      </c>
      <c r="L86" s="39">
        <f>K85-A86</f>
        <v>3.7499999998544808E-2</v>
      </c>
    </row>
    <row r="87" spans="1:12" s="37" customFormat="1" x14ac:dyDescent="0.25">
      <c r="A87" s="34">
        <v>45839.539583333331</v>
      </c>
      <c r="B87" s="35" t="s">
        <v>4</v>
      </c>
      <c r="C87" s="36">
        <v>6999040001</v>
      </c>
      <c r="D87" s="35" t="e">
        <f>VLOOKUP(C87,[2]DATOS!$B$6:$D$1004,3,FALSE)</f>
        <v>#N/A</v>
      </c>
      <c r="E87" s="35" t="e">
        <f>VLOOKUP(C87,[2]DATOS!$B$6:$E$1004,4,FALSE)</f>
        <v>#N/A</v>
      </c>
      <c r="F87" s="35" t="e">
        <f>VLOOKUP(C87,[2]DATOS!$B$6:$P$1002,15,FALSE)</f>
        <v>#N/A</v>
      </c>
      <c r="G87" s="35" t="s">
        <v>759</v>
      </c>
      <c r="H87" s="35" t="s">
        <v>865</v>
      </c>
      <c r="I87" s="38" t="s">
        <v>833</v>
      </c>
      <c r="J87" s="38" t="s">
        <v>835</v>
      </c>
      <c r="K87" s="46">
        <v>45839.690972222219</v>
      </c>
      <c r="L87" s="39">
        <f>K87-A87</f>
        <v>0.15138888888759539</v>
      </c>
    </row>
    <row r="88" spans="1:12" s="37" customFormat="1" x14ac:dyDescent="0.25">
      <c r="A88" s="34">
        <v>45839.677083333336</v>
      </c>
      <c r="B88" s="35" t="s">
        <v>870</v>
      </c>
      <c r="C88" s="36">
        <v>6999070001</v>
      </c>
      <c r="D88" s="35" t="str">
        <f>VLOOKUP(C88,[2]DATOS!$B$6:$D$1004,3,FALSE)</f>
        <v>CMPC-D-BIO-SOREPA-ANTOFAGASTA-PRIN-6999070001-RESP-GTD</v>
      </c>
      <c r="E88" s="35" t="str">
        <f>VLOOKUP(C88,[2]DATOS!$B$6:$E$1004,4,FALSE)</f>
        <v>10.220.168.102</v>
      </c>
      <c r="F88" s="35" t="str">
        <f>VLOOKUP(C88,[2]DATOS!$B$6:$P$1002,15,FALSE)</f>
        <v>CORRUGADO</v>
      </c>
      <c r="G88" s="35" t="s">
        <v>759</v>
      </c>
      <c r="H88" s="35" t="s">
        <v>871</v>
      </c>
      <c r="I88" s="38" t="s">
        <v>834</v>
      </c>
      <c r="J88" s="38" t="s">
        <v>14</v>
      </c>
      <c r="K88" s="46">
        <v>45840.634027777778</v>
      </c>
      <c r="L88" s="39">
        <f>K88-A88</f>
        <v>0.9569444444423425</v>
      </c>
    </row>
    <row r="89" spans="1:12" s="37" customFormat="1" x14ac:dyDescent="0.25">
      <c r="A89" s="34">
        <v>45841.484722222223</v>
      </c>
      <c r="B89" s="35" t="s">
        <v>4</v>
      </c>
      <c r="C89" s="36">
        <v>6999040001</v>
      </c>
      <c r="D89" s="35" t="e">
        <f>VLOOKUP(C89,[2]DATOS!$B$6:$D$1004,3,FALSE)</f>
        <v>#N/A</v>
      </c>
      <c r="E89" s="35" t="e">
        <f>VLOOKUP(C89,[2]DATOS!$B$6:$E$1004,4,FALSE)</f>
        <v>#N/A</v>
      </c>
      <c r="F89" s="35" t="e">
        <f>VLOOKUP(C89,[2]DATOS!$B$6:$P$1002,15,FALSE)</f>
        <v>#N/A</v>
      </c>
      <c r="G89" s="35" t="s">
        <v>759</v>
      </c>
      <c r="H89" s="35" t="s">
        <v>872</v>
      </c>
      <c r="I89" s="38" t="s">
        <v>833</v>
      </c>
      <c r="J89" s="38" t="s">
        <v>835</v>
      </c>
      <c r="K89" s="46">
        <v>45841.836805555555</v>
      </c>
      <c r="L89" s="39">
        <f>K89-A89</f>
        <v>0.35208333333139308</v>
      </c>
    </row>
    <row r="90" spans="1:12" s="37" customFormat="1" x14ac:dyDescent="0.25">
      <c r="A90" s="34">
        <v>45841.648611111108</v>
      </c>
      <c r="B90" s="35" t="s">
        <v>4</v>
      </c>
      <c r="C90" s="36">
        <v>10000711182</v>
      </c>
      <c r="D90" s="35" t="str">
        <f>VLOOKUP(C90,[2]DATOS!$B$6:$D$1004,3,FALSE)</f>
        <v>CMPC-SOREPA-TALCA-10000711182</v>
      </c>
      <c r="E90" s="35" t="str">
        <f>VLOOKUP(C90,[2]DATOS!$B$6:$E$1004,4,FALSE)</f>
        <v>10.233.198.42</v>
      </c>
      <c r="F90" s="35" t="str">
        <f>VLOOKUP(C90,[2]DATOS!$B$6:$P$1002,15,FALSE)</f>
        <v>SOREPA</v>
      </c>
      <c r="G90" s="35" t="s">
        <v>759</v>
      </c>
      <c r="H90" s="35" t="s">
        <v>863</v>
      </c>
      <c r="I90" s="38" t="s">
        <v>833</v>
      </c>
      <c r="J90" s="38" t="s">
        <v>835</v>
      </c>
      <c r="K90" s="46">
        <v>45842.547222222223</v>
      </c>
      <c r="L90" s="39">
        <v>2.8472222222262644</v>
      </c>
    </row>
    <row r="91" spans="1:12" s="37" customFormat="1" x14ac:dyDescent="0.25">
      <c r="A91" s="34">
        <v>45843.8</v>
      </c>
      <c r="B91" s="35" t="s">
        <v>4</v>
      </c>
      <c r="C91" s="42">
        <v>7016120002</v>
      </c>
      <c r="D91" s="35" t="str">
        <f>VLOOKUP(C91,[2]DATOS!$B$6:$D$1004,3,FALSE)</f>
        <v>CMPC-D-TERCEROS-GENESYS-UNIC-7016120002</v>
      </c>
      <c r="E91" s="35" t="str">
        <f>VLOOKUP(C91,[2]DATOS!$B$6:$E$1004,4,FALSE)</f>
        <v>10.220.113.6</v>
      </c>
      <c r="F91" s="35" t="str">
        <f>VLOOKUP(C91,[2]DATOS!$B$6:$P$1002,15,FALSE)</f>
        <v>PULP</v>
      </c>
      <c r="G91" s="35" t="s">
        <v>759</v>
      </c>
      <c r="H91" s="35" t="s">
        <v>902</v>
      </c>
      <c r="I91" s="38" t="s">
        <v>864</v>
      </c>
      <c r="J91" s="38" t="s">
        <v>14</v>
      </c>
      <c r="K91" s="46">
        <v>45844.479166666664</v>
      </c>
      <c r="L91" s="39">
        <f t="shared" ref="L91:L122" si="3">K91-A91</f>
        <v>0.67916666666133096</v>
      </c>
    </row>
    <row r="92" spans="1:12" s="37" customFormat="1" x14ac:dyDescent="0.25">
      <c r="A92" s="34">
        <v>45844.440972222219</v>
      </c>
      <c r="B92" s="35" t="s">
        <v>900</v>
      </c>
      <c r="C92" s="36">
        <v>10000457638</v>
      </c>
      <c r="D92" s="35" t="str">
        <f>VLOOKUP(C92,[2]DATOS!$B$6:$D$1004,3,FALSE)</f>
        <v>CMPC-C-SOFTYS-LO-ECHEVERS-CD-PRIN-10000457638</v>
      </c>
      <c r="E92" s="35" t="str">
        <f>VLOOKUP(C92,[2]DATOS!$B$6:$E$1004,4,FALSE)</f>
        <v>10.235.254.138</v>
      </c>
      <c r="F92" s="35" t="str">
        <f>VLOOKUP(C92,[2]DATOS!$B$6:$P$1002,15,FALSE)</f>
        <v>SOFTYS</v>
      </c>
      <c r="G92" s="35" t="s">
        <v>759</v>
      </c>
      <c r="H92" s="35" t="s">
        <v>901</v>
      </c>
      <c r="I92" s="38" t="s">
        <v>862</v>
      </c>
      <c r="J92" s="38" t="s">
        <v>835</v>
      </c>
      <c r="K92" s="46">
        <v>45844.440972222219</v>
      </c>
      <c r="L92" s="39">
        <f t="shared" si="3"/>
        <v>0</v>
      </c>
    </row>
    <row r="93" spans="1:12" s="37" customFormat="1" x14ac:dyDescent="0.25">
      <c r="A93" s="34">
        <v>45844.468055555553</v>
      </c>
      <c r="B93" s="35" t="s">
        <v>4</v>
      </c>
      <c r="C93" s="36">
        <v>7823550001</v>
      </c>
      <c r="D93" s="35" t="str">
        <f>VLOOKUP(C93,[2]DATOS!$B$6:$D$1004,3,FALSE)</f>
        <v>CMPC-C-BIO-EDIPAC-QUILICURA-PRIN-7823550001-RESP-GTD</v>
      </c>
      <c r="E93" s="35" t="str">
        <f>VLOOKUP(C93,[2]DATOS!$B$6:$E$1004,4,FALSE)</f>
        <v>10.220.168.86</v>
      </c>
      <c r="F93" s="35" t="str">
        <f>VLOOKUP(C93,[2]DATOS!$B$6:$P$1002,15,FALSE)</f>
        <v>EDIPAC</v>
      </c>
      <c r="G93" s="35" t="s">
        <v>759</v>
      </c>
      <c r="H93" s="35" t="s">
        <v>903</v>
      </c>
      <c r="I93" s="38" t="s">
        <v>862</v>
      </c>
      <c r="J93" s="38" t="s">
        <v>835</v>
      </c>
      <c r="K93" s="46">
        <v>45844.491666666669</v>
      </c>
      <c r="L93" s="39">
        <f t="shared" si="3"/>
        <v>2.3611111115314998E-2</v>
      </c>
    </row>
    <row r="94" spans="1:12" s="37" customFormat="1" x14ac:dyDescent="0.25">
      <c r="A94" s="34">
        <v>45845.880555555559</v>
      </c>
      <c r="B94" s="35" t="s">
        <v>905</v>
      </c>
      <c r="C94" s="42">
        <v>10000138837</v>
      </c>
      <c r="D94" s="35" t="str">
        <f>VLOOKUP(C94,[2]DATOS!$B$6:$D$1004,3,FALSE)</f>
        <v>CMPC-PAPELES-EIRA-OSORNO-CORE-SW-10000138837</v>
      </c>
      <c r="E94" s="35" t="str">
        <f>VLOOKUP(C94,[2]DATOS!$B$6:$E$1004,4,FALSE)</f>
        <v>10.234.50.117</v>
      </c>
      <c r="F94" s="35" t="str">
        <f>VLOOKUP(C94,[2]DATOS!$B$6:$P$1002,15,FALSE)</f>
        <v>CORRUGADO</v>
      </c>
      <c r="G94" s="35" t="s">
        <v>894</v>
      </c>
      <c r="H94" s="35" t="s">
        <v>908</v>
      </c>
      <c r="I94" s="38" t="s">
        <v>864</v>
      </c>
      <c r="J94" s="38" t="s">
        <v>14</v>
      </c>
      <c r="K94" s="46">
        <v>45846.386111111111</v>
      </c>
      <c r="L94" s="39">
        <f t="shared" si="3"/>
        <v>0.50555555555183673</v>
      </c>
    </row>
    <row r="95" spans="1:12" s="37" customFormat="1" x14ac:dyDescent="0.25">
      <c r="A95" s="34">
        <v>45845.882638888892</v>
      </c>
      <c r="B95" s="35" t="s">
        <v>906</v>
      </c>
      <c r="C95" s="36">
        <v>10000100046</v>
      </c>
      <c r="D95" s="35" t="str">
        <f>VLOOKUP(C95,[2]DATOS!$B$6:$D$1004,3,FALSE)</f>
        <v>CMPC-PAPELES-EIRA-OSORNO-PRIN-T3-10000100046</v>
      </c>
      <c r="E95" s="35" t="str">
        <f>VLOOKUP(C95,[2]DATOS!$B$6:$E$1004,4,FALSE)</f>
        <v>10.221.19.154</v>
      </c>
      <c r="F95" s="35" t="str">
        <f>VLOOKUP(C95,[2]DATOS!$B$6:$P$1002,15,FALSE)</f>
        <v>CORRUGADO</v>
      </c>
      <c r="G95" s="35" t="s">
        <v>759</v>
      </c>
      <c r="H95" s="35" t="s">
        <v>925</v>
      </c>
      <c r="I95" s="38" t="s">
        <v>864</v>
      </c>
      <c r="J95" s="38" t="s">
        <v>14</v>
      </c>
      <c r="K95" s="46">
        <v>45845.961805555555</v>
      </c>
      <c r="L95" s="39">
        <f t="shared" si="3"/>
        <v>7.9166666662786156E-2</v>
      </c>
    </row>
    <row r="96" spans="1:12" s="37" customFormat="1" x14ac:dyDescent="0.25">
      <c r="A96" s="34">
        <v>45846.242361111108</v>
      </c>
      <c r="B96" s="35" t="s">
        <v>4</v>
      </c>
      <c r="C96" s="36">
        <v>10000711182</v>
      </c>
      <c r="D96" s="35" t="str">
        <f>VLOOKUP(C96,[2]DATOS!$B$6:$D$1004,3,FALSE)</f>
        <v>CMPC-SOREPA-TALCA-10000711182</v>
      </c>
      <c r="E96" s="35" t="str">
        <f>VLOOKUP(C96,[2]DATOS!$B$6:$E$1004,4,FALSE)</f>
        <v>10.233.198.42</v>
      </c>
      <c r="F96" s="35" t="str">
        <f>VLOOKUP(C96,[2]DATOS!$B$6:$P$1002,15,FALSE)</f>
        <v>SOREPA</v>
      </c>
      <c r="G96" s="35" t="s">
        <v>759</v>
      </c>
      <c r="H96" s="35" t="s">
        <v>904</v>
      </c>
      <c r="I96" s="38" t="s">
        <v>833</v>
      </c>
      <c r="J96" s="38" t="s">
        <v>835</v>
      </c>
      <c r="K96" s="46">
        <v>45846.345833333333</v>
      </c>
      <c r="L96" s="39">
        <f t="shared" si="3"/>
        <v>0.10347222222480923</v>
      </c>
    </row>
    <row r="97" spans="1:12" s="37" customFormat="1" x14ac:dyDescent="0.25">
      <c r="A97" s="34">
        <v>45846.419444444444</v>
      </c>
      <c r="B97" s="35" t="s">
        <v>907</v>
      </c>
      <c r="C97" s="42">
        <v>10000138837</v>
      </c>
      <c r="D97" s="35" t="str">
        <f>VLOOKUP(C97,[2]DATOS!$B$6:$D$1004,3,FALSE)</f>
        <v>CMPC-PAPELES-EIRA-OSORNO-CORE-SW-10000138837</v>
      </c>
      <c r="E97" s="35" t="str">
        <f>VLOOKUP(C97,[2]DATOS!$B$6:$E$1004,4,FALSE)</f>
        <v>10.234.50.117</v>
      </c>
      <c r="F97" s="35" t="str">
        <f>VLOOKUP(C97,[2]DATOS!$B$6:$P$1002,15,FALSE)</f>
        <v>CORRUGADO</v>
      </c>
      <c r="G97" s="35" t="s">
        <v>759</v>
      </c>
      <c r="H97" s="35" t="s">
        <v>914</v>
      </c>
      <c r="I97" s="38" t="s">
        <v>862</v>
      </c>
      <c r="J97" s="38" t="s">
        <v>835</v>
      </c>
      <c r="K97" s="46">
        <v>45846.592361111114</v>
      </c>
      <c r="L97" s="39">
        <f t="shared" si="3"/>
        <v>0.17291666667006211</v>
      </c>
    </row>
    <row r="98" spans="1:12" s="37" customFormat="1" x14ac:dyDescent="0.25">
      <c r="A98" s="34">
        <v>45846.997916666667</v>
      </c>
      <c r="B98" s="35" t="s">
        <v>4</v>
      </c>
      <c r="C98" s="36">
        <v>10000024475</v>
      </c>
      <c r="D98" s="35" t="str">
        <f>VLOOKUP(C98,[2]DATOS!$B$6:$D$1004,3,FALSE)</f>
        <v>CMPC-D-BIO-SOREPA-PTOMONTT-PRIN-10000024475-RESP-GTD</v>
      </c>
      <c r="E98" s="35" t="str">
        <f>VLOOKUP(C98,[2]DATOS!$B$6:$E$1004,4,FALSE)</f>
        <v>10.220.168.170</v>
      </c>
      <c r="F98" s="35" t="str">
        <f>VLOOKUP(C98,[2]DATOS!$B$6:$P$1002,15,FALSE)</f>
        <v>CORRUGADO</v>
      </c>
      <c r="G98" s="35" t="s">
        <v>759</v>
      </c>
      <c r="H98" s="35" t="s">
        <v>909</v>
      </c>
      <c r="I98" s="38" t="s">
        <v>833</v>
      </c>
      <c r="J98" s="38" t="s">
        <v>835</v>
      </c>
      <c r="K98" s="46">
        <v>45847.340277777781</v>
      </c>
      <c r="L98" s="39">
        <f t="shared" si="3"/>
        <v>0.34236111111385981</v>
      </c>
    </row>
    <row r="99" spans="1:12" s="37" customFormat="1" x14ac:dyDescent="0.25">
      <c r="A99" s="34">
        <v>45847.719444444447</v>
      </c>
      <c r="B99" s="35" t="s">
        <v>910</v>
      </c>
      <c r="C99" s="36">
        <v>6963530001</v>
      </c>
      <c r="D99" s="35" t="str">
        <f>VLOOKUP(C99,[2]DATOS!$B$6:$D$1004,3,FALSE)</f>
        <v>CMPC-D-CEL-FORMIN-ANGOL-UNIC-6963530001</v>
      </c>
      <c r="E99" s="35" t="str">
        <f>VLOOKUP(C99,[2]DATOS!$B$6:$E$1004,4,FALSE)</f>
        <v>10.220.168.246</v>
      </c>
      <c r="F99" s="35" t="str">
        <f>VLOOKUP(C99,[2]DATOS!$B$6:$P$1002,15,FALSE)</f>
        <v>FORESTAL</v>
      </c>
      <c r="G99" s="35" t="s">
        <v>759</v>
      </c>
      <c r="H99" s="35" t="s">
        <v>911</v>
      </c>
      <c r="I99" s="38" t="s">
        <v>834</v>
      </c>
      <c r="J99" s="38" t="s">
        <v>14</v>
      </c>
      <c r="K99" s="46">
        <v>45847.89166666667</v>
      </c>
      <c r="L99" s="39">
        <f t="shared" si="3"/>
        <v>0.17222222222335404</v>
      </c>
    </row>
    <row r="100" spans="1:12" s="37" customFormat="1" x14ac:dyDescent="0.25">
      <c r="A100" s="34">
        <v>45848.884722222225</v>
      </c>
      <c r="B100" s="35" t="s">
        <v>912</v>
      </c>
      <c r="C100" s="36">
        <v>7808270001</v>
      </c>
      <c r="D100" s="35" t="str">
        <f>VLOOKUP(C100,[2]DATOS!$B$6:$D$1004,3,FALSE)</f>
        <v>CMPC-D-CEL-FORMIN-CANETE-UNIC-7808270001</v>
      </c>
      <c r="E100" s="35" t="str">
        <f>VLOOKUP(C100,[2]DATOS!$B$6:$E$1004,4,FALSE)</f>
        <v>10.220.168.158</v>
      </c>
      <c r="F100" s="35" t="str">
        <f>VLOOKUP(C100,[2]DATOS!$B$6:$P$1002,15,FALSE)</f>
        <v>FORESTAL</v>
      </c>
      <c r="G100" s="35" t="s">
        <v>759</v>
      </c>
      <c r="H100" s="35" t="s">
        <v>913</v>
      </c>
      <c r="I100" s="38" t="s">
        <v>836</v>
      </c>
      <c r="J100" s="38" t="s">
        <v>14</v>
      </c>
      <c r="K100" s="46">
        <v>45849.061111111114</v>
      </c>
      <c r="L100" s="39">
        <f t="shared" si="3"/>
        <v>0.17638888888905058</v>
      </c>
    </row>
    <row r="101" spans="1:12" s="37" customFormat="1" x14ac:dyDescent="0.25">
      <c r="A101" s="34">
        <v>45851.38958333333</v>
      </c>
      <c r="B101" s="35" t="s">
        <v>915</v>
      </c>
      <c r="C101" s="42">
        <v>10000000824</v>
      </c>
      <c r="D101" s="35" t="str">
        <f>VLOOKUP(C101,[2]DATOS!$B$6:$D$1004,3,FALSE)</f>
        <v>CMPC-D-CEL-MADERAS-BUCALEMU-PRIN-10000000824-RESP-GTD</v>
      </c>
      <c r="E101" s="35" t="str">
        <f>VLOOKUP(C101,[2]DATOS!$B$6:$E$1004,4,FALSE)</f>
        <v>10.228.65.30</v>
      </c>
      <c r="F101" s="35" t="str">
        <f>VLOOKUP(C101,[2]DATOS!$B$6:$P$1002,15,FALSE)</f>
        <v>MADERAS</v>
      </c>
      <c r="G101" s="35" t="s">
        <v>759</v>
      </c>
      <c r="H101" s="35" t="s">
        <v>916</v>
      </c>
      <c r="I101" s="38" t="s">
        <v>862</v>
      </c>
      <c r="J101" s="38" t="s">
        <v>835</v>
      </c>
      <c r="K101" s="46">
        <v>45851.65347222222</v>
      </c>
      <c r="L101" s="39">
        <f t="shared" si="3"/>
        <v>0.26388888889050577</v>
      </c>
    </row>
    <row r="102" spans="1:12" s="37" customFormat="1" x14ac:dyDescent="0.25">
      <c r="A102" s="34">
        <v>45852.822222222225</v>
      </c>
      <c r="B102" s="41" t="s">
        <v>917</v>
      </c>
      <c r="C102" s="36">
        <v>7808270001</v>
      </c>
      <c r="D102" s="35" t="str">
        <f>VLOOKUP(C102,[2]DATOS!$B$6:$D$1004,3,FALSE)</f>
        <v>CMPC-D-CEL-FORMIN-CANETE-UNIC-7808270001</v>
      </c>
      <c r="E102" s="35" t="str">
        <f>VLOOKUP(C102,[2]DATOS!$B$6:$E$1004,4,FALSE)</f>
        <v>10.220.168.158</v>
      </c>
      <c r="F102" s="35" t="str">
        <f>VLOOKUP(C102,[2]DATOS!$B$6:$P$1002,15,FALSE)</f>
        <v>FORESTAL</v>
      </c>
      <c r="G102" s="35" t="s">
        <v>759</v>
      </c>
      <c r="H102" s="35" t="s">
        <v>918</v>
      </c>
      <c r="I102" s="38" t="s">
        <v>834</v>
      </c>
      <c r="J102" s="38" t="s">
        <v>14</v>
      </c>
      <c r="K102" s="46">
        <v>45852.956944444442</v>
      </c>
      <c r="L102" s="39">
        <f t="shared" si="3"/>
        <v>0.13472222221753327</v>
      </c>
    </row>
    <row r="103" spans="1:12" s="37" customFormat="1" x14ac:dyDescent="0.25">
      <c r="A103" s="34">
        <v>45853.48541666667</v>
      </c>
      <c r="B103" s="41" t="s">
        <v>4</v>
      </c>
      <c r="C103" s="37">
        <v>6999040001</v>
      </c>
      <c r="D103" s="35" t="e">
        <f>VLOOKUP(C103,[2]DATOS!$B$6:$D$1004,3,FALSE)</f>
        <v>#N/A</v>
      </c>
      <c r="E103" s="35" t="e">
        <f>VLOOKUP(C103,[2]DATOS!$B$6:$E$1004,4,FALSE)</f>
        <v>#N/A</v>
      </c>
      <c r="F103" s="35" t="e">
        <f>VLOOKUP(C103,[2]DATOS!$B$6:$P$1002,15,FALSE)</f>
        <v>#N/A</v>
      </c>
      <c r="G103" s="35" t="s">
        <v>759</v>
      </c>
      <c r="H103" s="35" t="s">
        <v>919</v>
      </c>
      <c r="I103" s="38" t="s">
        <v>833</v>
      </c>
      <c r="J103" s="38" t="s">
        <v>835</v>
      </c>
      <c r="K103" s="46">
        <v>45853.583333333336</v>
      </c>
      <c r="L103" s="39">
        <f t="shared" si="3"/>
        <v>9.7916666665696539E-2</v>
      </c>
    </row>
    <row r="104" spans="1:12" s="37" customFormat="1" x14ac:dyDescent="0.25">
      <c r="A104" s="34">
        <v>45854.520138888889</v>
      </c>
      <c r="B104" s="35" t="s">
        <v>920</v>
      </c>
      <c r="C104" s="36">
        <v>10000057950</v>
      </c>
      <c r="D104" s="35" t="str">
        <f>VLOOKUP(C104,[2]DATOS!$B$6:$D$1004,3,FALSE)</f>
        <v>CMPC-D-BIO-ENVASES-ROBLE-ALTO-BUIN-PRIN-10000057950-RESP-GTD</v>
      </c>
      <c r="E104" s="35" t="str">
        <f>VLOOKUP(C104,[2]DATOS!$B$6:$E$1004,4,FALSE)</f>
        <v>10.228.65.46</v>
      </c>
      <c r="F104" s="35" t="str">
        <f>VLOOKUP(C104,[2]DATOS!$B$6:$P$1002,15,FALSE)</f>
        <v>CORRUGADO</v>
      </c>
      <c r="G104" s="35" t="s">
        <v>759</v>
      </c>
      <c r="H104" s="35" t="s">
        <v>919</v>
      </c>
      <c r="I104" s="38" t="s">
        <v>833</v>
      </c>
      <c r="J104" s="38" t="s">
        <v>835</v>
      </c>
      <c r="K104" s="46">
        <v>45854.612500000003</v>
      </c>
      <c r="L104" s="39">
        <f t="shared" si="3"/>
        <v>9.2361111113859806E-2</v>
      </c>
    </row>
    <row r="105" spans="1:12" s="37" customFormat="1" x14ac:dyDescent="0.25">
      <c r="A105" s="34">
        <v>45855.631249999999</v>
      </c>
      <c r="B105" s="35" t="s">
        <v>921</v>
      </c>
      <c r="C105" s="36">
        <v>6999070001</v>
      </c>
      <c r="D105" s="35" t="str">
        <f>VLOOKUP(C105,[2]DATOS!$B$6:$D$1004,3,FALSE)</f>
        <v>CMPC-D-BIO-SOREPA-ANTOFAGASTA-PRIN-6999070001-RESP-GTD</v>
      </c>
      <c r="E105" s="35" t="str">
        <f>VLOOKUP(C105,[2]DATOS!$B$6:$E$1004,4,FALSE)</f>
        <v>10.220.168.102</v>
      </c>
      <c r="F105" s="35" t="str">
        <f>VLOOKUP(C105,[2]DATOS!$B$6:$P$1002,15,FALSE)</f>
        <v>CORRUGADO</v>
      </c>
      <c r="G105" s="35" t="s">
        <v>759</v>
      </c>
      <c r="H105" s="35" t="s">
        <v>922</v>
      </c>
      <c r="I105" s="38" t="s">
        <v>836</v>
      </c>
      <c r="J105" s="38" t="s">
        <v>14</v>
      </c>
      <c r="K105" s="46">
        <v>45856.484027777777</v>
      </c>
      <c r="L105" s="39">
        <f t="shared" si="3"/>
        <v>0.85277777777810115</v>
      </c>
    </row>
    <row r="106" spans="1:12" s="37" customFormat="1" x14ac:dyDescent="0.25">
      <c r="A106" s="34">
        <v>45858.074305555558</v>
      </c>
      <c r="B106" s="35" t="s">
        <v>924</v>
      </c>
      <c r="C106" s="36">
        <v>10000006824</v>
      </c>
      <c r="D106" s="35" t="str">
        <f>VLOOKUP(C106,[2]DATOS!$B$6:$D$1004,3,FALSE)</f>
        <v>CMPC-C-SOFTYS-PTE-ALTO-PRIN-10000006824-RESP-GTD</v>
      </c>
      <c r="E106" s="35" t="str">
        <f>VLOOKUP(C106,[2]DATOS!$B$6:$E$1004,4,FALSE)</f>
        <v>10.221.19.38</v>
      </c>
      <c r="F106" s="35" t="str">
        <f>VLOOKUP(C106,[2]DATOS!$B$6:$P$1002,15,FALSE)</f>
        <v>SOFTYS</v>
      </c>
      <c r="G106" s="35" t="s">
        <v>759</v>
      </c>
      <c r="H106" s="35" t="s">
        <v>926</v>
      </c>
      <c r="I106" s="38" t="s">
        <v>864</v>
      </c>
      <c r="J106" s="38" t="s">
        <v>14</v>
      </c>
      <c r="K106" s="46">
        <v>45858.138888888891</v>
      </c>
      <c r="L106" s="39">
        <f t="shared" si="3"/>
        <v>6.4583333332848269E-2</v>
      </c>
    </row>
    <row r="107" spans="1:12" s="37" customFormat="1" x14ac:dyDescent="0.25">
      <c r="A107" s="34">
        <v>45859.070833333331</v>
      </c>
      <c r="B107" s="35" t="s">
        <v>923</v>
      </c>
      <c r="C107" s="37">
        <v>7016120002</v>
      </c>
      <c r="D107" s="35" t="str">
        <f>VLOOKUP(C107,[2]DATOS!$B$6:$D$1004,3,FALSE)</f>
        <v>CMPC-D-TERCEROS-GENESYS-UNIC-7016120002</v>
      </c>
      <c r="E107" s="35" t="str">
        <f>VLOOKUP(C107,[2]DATOS!$B$6:$E$1004,4,FALSE)</f>
        <v>10.220.113.6</v>
      </c>
      <c r="F107" s="35" t="str">
        <f>VLOOKUP(C107,[2]DATOS!$B$6:$P$1002,15,FALSE)</f>
        <v>PULP</v>
      </c>
      <c r="G107" s="35" t="s">
        <v>759</v>
      </c>
      <c r="H107" s="35" t="s">
        <v>928</v>
      </c>
      <c r="I107" s="38" t="s">
        <v>834</v>
      </c>
      <c r="J107" s="38" t="s">
        <v>14</v>
      </c>
      <c r="K107" s="46">
        <v>45859.694444444445</v>
      </c>
      <c r="L107" s="39">
        <f t="shared" si="3"/>
        <v>0.62361111111385981</v>
      </c>
    </row>
    <row r="108" spans="1:12" s="37" customFormat="1" x14ac:dyDescent="0.25">
      <c r="A108" s="34">
        <v>45859.447222222225</v>
      </c>
      <c r="B108" s="35" t="s">
        <v>927</v>
      </c>
      <c r="C108" s="36">
        <v>10000011130</v>
      </c>
      <c r="D108" s="35" t="str">
        <f>VLOOKUP(C108,[2]DATOS!$B$6:$D$1004,3,FALSE)</f>
        <v>CMPC_FUNDACION_P.ALESSANDRI_CASETA_10000011130</v>
      </c>
      <c r="E108" s="35" t="str">
        <f>VLOOKUP(C108,[2]DATOS!$B$6:$E$1004,4,FALSE)</f>
        <v>10.221.19.50</v>
      </c>
      <c r="F108" s="35" t="str">
        <f>VLOOKUP(C108,[2]DATOS!$B$6:$P$1002,15,FALSE)</f>
        <v>FORESTAL</v>
      </c>
      <c r="G108" s="35" t="s">
        <v>759</v>
      </c>
      <c r="H108" s="35" t="s">
        <v>926</v>
      </c>
      <c r="I108" s="38" t="s">
        <v>864</v>
      </c>
      <c r="J108" s="38" t="s">
        <v>14</v>
      </c>
      <c r="K108" s="46">
        <v>45859.824305555558</v>
      </c>
      <c r="L108" s="39">
        <f t="shared" si="3"/>
        <v>0.37708333333284827</v>
      </c>
    </row>
    <row r="109" spans="1:12" s="37" customFormat="1" x14ac:dyDescent="0.25">
      <c r="A109" s="34">
        <v>45861.631249999999</v>
      </c>
      <c r="B109" s="35" t="s">
        <v>929</v>
      </c>
      <c r="C109" s="36">
        <v>10000119172</v>
      </c>
      <c r="D109" s="35" t="str">
        <f>VLOOKUP(C109,[2]DATOS!$B$6:$D$1004,3,FALSE)</f>
        <v>CMPC-D-BIO-SOREPA-CHILLAN-UNIC-10000119172</v>
      </c>
      <c r="E109" s="35" t="str">
        <f>VLOOKUP(C109,[2]DATOS!$B$6:$E$1004,4,FALSE)</f>
        <v>10.220.168.42</v>
      </c>
      <c r="F109" s="35" t="str">
        <f>VLOOKUP(C109,[2]DATOS!$B$6:$P$1002,15,FALSE)</f>
        <v>CORRUGADO</v>
      </c>
      <c r="G109" s="35" t="s">
        <v>759</v>
      </c>
      <c r="H109" s="35" t="s">
        <v>930</v>
      </c>
      <c r="I109" s="38" t="s">
        <v>862</v>
      </c>
      <c r="J109" s="38" t="s">
        <v>14</v>
      </c>
      <c r="K109" s="46">
        <v>45861.7</v>
      </c>
      <c r="L109" s="39">
        <f t="shared" si="3"/>
        <v>6.8749999998544808E-2</v>
      </c>
    </row>
    <row r="110" spans="1:12" s="37" customFormat="1" x14ac:dyDescent="0.25">
      <c r="A110" s="34">
        <v>45862.439583333333</v>
      </c>
      <c r="B110" s="35" t="s">
        <v>931</v>
      </c>
      <c r="C110" s="36">
        <v>10000081665</v>
      </c>
      <c r="D110" s="35" t="str">
        <f>VLOOKUP(C110,[2]DATOS!$B$6:$D$1004,3,FALSE)</f>
        <v>CMPC-D-BIO-ENVASES-EIRA-LO-ESPEJO-PRIN-10000081665-RESP-GTD</v>
      </c>
      <c r="E110" s="35" t="str">
        <f>VLOOKUP(C110,[2]DATOS!$B$6:$E$1004,4,FALSE)</f>
        <v>10.221.19.146</v>
      </c>
      <c r="F110" s="35" t="str">
        <f>VLOOKUP(C110,[2]DATOS!$B$6:$P$1002,15,FALSE)</f>
        <v>CORRUGADO</v>
      </c>
      <c r="G110" s="35" t="s">
        <v>759</v>
      </c>
      <c r="H110" s="35" t="s">
        <v>932</v>
      </c>
      <c r="I110" s="38" t="s">
        <v>834</v>
      </c>
      <c r="J110" s="38" t="s">
        <v>14</v>
      </c>
      <c r="K110" s="46">
        <v>45866.736111111109</v>
      </c>
      <c r="L110" s="39">
        <f t="shared" si="3"/>
        <v>4.296527777776646</v>
      </c>
    </row>
    <row r="111" spans="1:12" s="37" customFormat="1" x14ac:dyDescent="0.25">
      <c r="A111" s="34">
        <v>45863.440972222219</v>
      </c>
      <c r="B111" s="35" t="s">
        <v>933</v>
      </c>
      <c r="C111" s="36">
        <v>10000058627</v>
      </c>
      <c r="D111" s="35" t="str">
        <f>VLOOKUP(C111,[2]DATOS!$B$6:$D$1004,3,FALSE)</f>
        <v>CMPC-C-CEL-PACIFICO-PRIN-10000058627</v>
      </c>
      <c r="E111" s="35" t="str">
        <f>VLOOKUP(C111,[2]DATOS!$B$6:$E$1004,4,FALSE)</f>
        <v>10.221.19.102</v>
      </c>
      <c r="F111" s="35" t="str">
        <f>VLOOKUP(C111,[2]DATOS!$B$6:$P$1002,15,FALSE)</f>
        <v>PULP</v>
      </c>
      <c r="G111" s="35" t="s">
        <v>759</v>
      </c>
      <c r="H111" s="35" t="s">
        <v>946</v>
      </c>
      <c r="I111" s="38" t="s">
        <v>834</v>
      </c>
      <c r="J111" s="38" t="s">
        <v>14</v>
      </c>
      <c r="K111" s="46">
        <v>45865.646527777775</v>
      </c>
      <c r="L111" s="39">
        <f t="shared" si="3"/>
        <v>2.2055555555562023</v>
      </c>
    </row>
    <row r="112" spans="1:12" s="37" customFormat="1" x14ac:dyDescent="0.25">
      <c r="A112" s="34">
        <v>45863.440972222219</v>
      </c>
      <c r="B112" s="35" t="s">
        <v>934</v>
      </c>
      <c r="C112" s="36">
        <v>7853300001</v>
      </c>
      <c r="D112" s="35" t="str">
        <f>VLOOKUP(C112,[2]DATOS!$B$6:$D$1004,3,FALSE)</f>
        <v>CMPC-C-CEL-MADERAS-PLYWOOD-PRIN-7853300001-RESP-GTD</v>
      </c>
      <c r="E112" s="35" t="str">
        <f>VLOOKUP(C112,[2]DATOS!$B$6:$E$1004,4,FALSE)</f>
        <v>10.236.63.226</v>
      </c>
      <c r="F112" s="35" t="str">
        <f>VLOOKUP(C112,[2]DATOS!$B$6:$P$1002,15,FALSE)</f>
        <v>MADERAS</v>
      </c>
      <c r="G112" s="35" t="s">
        <v>759</v>
      </c>
      <c r="H112" s="35" t="s">
        <v>946</v>
      </c>
      <c r="I112" s="38" t="s">
        <v>834</v>
      </c>
      <c r="J112" s="38" t="s">
        <v>14</v>
      </c>
      <c r="K112" s="46">
        <v>45865.646527777775</v>
      </c>
      <c r="L112" s="39">
        <f t="shared" si="3"/>
        <v>2.2055555555562023</v>
      </c>
    </row>
    <row r="113" spans="1:12" s="37" customFormat="1" x14ac:dyDescent="0.25">
      <c r="A113" s="34">
        <v>45863.440972222219</v>
      </c>
      <c r="B113" s="35" t="s">
        <v>935</v>
      </c>
      <c r="C113" s="36">
        <v>10000365255</v>
      </c>
      <c r="D113" s="35" t="str">
        <f>VLOOKUP(C113,[2]DATOS!$B$6:$D$1004,3,FALSE)</f>
        <v>CMPC-D-CEL-INTERNET-VILLA-MININCO-10000365255</v>
      </c>
      <c r="E113" s="35" t="str">
        <f>VLOOKUP(C113,[2]DATOS!$B$6:$E$1004,4,FALSE)</f>
        <v>192.168.101.78</v>
      </c>
      <c r="F113" s="35">
        <f>VLOOKUP(C113,[2]DATOS!$B$6:$P$1002,15,FALSE)</f>
        <v>0</v>
      </c>
      <c r="G113" s="35" t="s">
        <v>759</v>
      </c>
      <c r="H113" s="35" t="s">
        <v>946</v>
      </c>
      <c r="I113" s="38" t="s">
        <v>834</v>
      </c>
      <c r="J113" s="38" t="s">
        <v>14</v>
      </c>
      <c r="K113" s="46">
        <v>45865.646527777775</v>
      </c>
      <c r="L113" s="39">
        <f t="shared" si="3"/>
        <v>2.2055555555562023</v>
      </c>
    </row>
    <row r="114" spans="1:12" s="37" customFormat="1" x14ac:dyDescent="0.25">
      <c r="A114" s="34">
        <v>45865.44027777778</v>
      </c>
      <c r="B114" s="35" t="s">
        <v>936</v>
      </c>
      <c r="C114" s="36">
        <v>10000057950</v>
      </c>
      <c r="D114" s="35" t="str">
        <f>VLOOKUP(C114,[2]DATOS!$B$6:$D$1004,3,FALSE)</f>
        <v>CMPC-D-BIO-ENVASES-ROBLE-ALTO-BUIN-PRIN-10000057950-RESP-GTD</v>
      </c>
      <c r="E114" s="35" t="str">
        <f>VLOOKUP(C114,[2]DATOS!$B$6:$E$1004,4,FALSE)</f>
        <v>10.228.65.46</v>
      </c>
      <c r="F114" s="35" t="str">
        <f>VLOOKUP(C114,[2]DATOS!$B$6:$P$1002,15,FALSE)</f>
        <v>CORRUGADO</v>
      </c>
      <c r="G114" s="35" t="s">
        <v>759</v>
      </c>
      <c r="H114" s="35" t="s">
        <v>904</v>
      </c>
      <c r="I114" s="38" t="s">
        <v>833</v>
      </c>
      <c r="J114" s="38" t="s">
        <v>835</v>
      </c>
      <c r="K114" s="46">
        <v>45865.574999999997</v>
      </c>
      <c r="L114" s="39">
        <f t="shared" si="3"/>
        <v>0.13472222221753327</v>
      </c>
    </row>
    <row r="115" spans="1:12" s="37" customFormat="1" x14ac:dyDescent="0.25">
      <c r="A115" s="34">
        <v>45866.436805497688</v>
      </c>
      <c r="B115" s="35" t="s">
        <v>939</v>
      </c>
      <c r="C115" s="36">
        <v>10000058627</v>
      </c>
      <c r="D115" s="35" t="str">
        <f>VLOOKUP(C115,[2]DATOS!$B$6:$D$1004,3,FALSE)</f>
        <v>CMPC-C-CEL-PACIFICO-PRIN-10000058627</v>
      </c>
      <c r="E115" s="35" t="str">
        <f>VLOOKUP(C115,[2]DATOS!$B$6:$E$1004,4,FALSE)</f>
        <v>10.221.19.102</v>
      </c>
      <c r="F115" s="35" t="str">
        <f>VLOOKUP(C115,[2]DATOS!$B$6:$P$1002,15,FALSE)</f>
        <v>PULP</v>
      </c>
      <c r="G115" s="35" t="s">
        <v>759</v>
      </c>
      <c r="H115" s="35" t="s">
        <v>949</v>
      </c>
      <c r="I115" s="38" t="s">
        <v>834</v>
      </c>
      <c r="J115" s="38" t="s">
        <v>14</v>
      </c>
      <c r="K115" s="46">
        <v>45867.254861111112</v>
      </c>
      <c r="L115" s="39">
        <f t="shared" si="3"/>
        <v>0.8180556134248036</v>
      </c>
    </row>
    <row r="116" spans="1:12" s="37" customFormat="1" x14ac:dyDescent="0.25">
      <c r="A116" s="34">
        <v>45866.436805555553</v>
      </c>
      <c r="B116" s="35" t="s">
        <v>937</v>
      </c>
      <c r="C116" s="36">
        <v>7853300001</v>
      </c>
      <c r="D116" s="35" t="str">
        <f>VLOOKUP(C116,[2]DATOS!$B$6:$D$1004,3,FALSE)</f>
        <v>CMPC-C-CEL-MADERAS-PLYWOOD-PRIN-7853300001-RESP-GTD</v>
      </c>
      <c r="E116" s="35" t="str">
        <f>VLOOKUP(C116,[2]DATOS!$B$6:$E$1004,4,FALSE)</f>
        <v>10.236.63.226</v>
      </c>
      <c r="F116" s="35" t="str">
        <f>VLOOKUP(C116,[2]DATOS!$B$6:$P$1002,15,FALSE)</f>
        <v>MADERAS</v>
      </c>
      <c r="G116" s="35" t="s">
        <v>759</v>
      </c>
      <c r="H116" s="35" t="s">
        <v>949</v>
      </c>
      <c r="I116" s="38" t="s">
        <v>834</v>
      </c>
      <c r="J116" s="38" t="s">
        <v>14</v>
      </c>
      <c r="K116" s="46">
        <v>45867.254861111112</v>
      </c>
      <c r="L116" s="39">
        <f t="shared" si="3"/>
        <v>0.81805555555911269</v>
      </c>
    </row>
    <row r="117" spans="1:12" s="37" customFormat="1" x14ac:dyDescent="0.25">
      <c r="A117" s="34">
        <v>45866.436805555553</v>
      </c>
      <c r="B117" s="35" t="s">
        <v>938</v>
      </c>
      <c r="C117" s="36">
        <v>10000365255</v>
      </c>
      <c r="D117" s="35" t="str">
        <f>VLOOKUP(C117,[2]DATOS!$B$6:$D$1004,3,FALSE)</f>
        <v>CMPC-D-CEL-INTERNET-VILLA-MININCO-10000365255</v>
      </c>
      <c r="E117" s="35" t="str">
        <f>VLOOKUP(C117,[2]DATOS!$B$6:$E$1004,4,FALSE)</f>
        <v>192.168.101.78</v>
      </c>
      <c r="F117" s="35">
        <f>VLOOKUP(C117,[2]DATOS!$B$6:$P$1002,15,FALSE)</f>
        <v>0</v>
      </c>
      <c r="G117" s="35" t="s">
        <v>759</v>
      </c>
      <c r="H117" s="35" t="s">
        <v>949</v>
      </c>
      <c r="I117" s="38" t="s">
        <v>834</v>
      </c>
      <c r="J117" s="38" t="s">
        <v>14</v>
      </c>
      <c r="K117" s="46">
        <v>45867.521527777775</v>
      </c>
      <c r="L117" s="39">
        <f t="shared" si="3"/>
        <v>1.0847222222218988</v>
      </c>
    </row>
    <row r="118" spans="1:12" s="37" customFormat="1" x14ac:dyDescent="0.25">
      <c r="A118" s="34">
        <v>45867.509722222225</v>
      </c>
      <c r="B118" s="35" t="s">
        <v>940</v>
      </c>
      <c r="C118" s="36">
        <v>7853300001</v>
      </c>
      <c r="D118" s="35" t="str">
        <f>VLOOKUP(C118,[2]DATOS!$B$6:$D$1004,3,FALSE)</f>
        <v>CMPC-C-CEL-MADERAS-PLYWOOD-PRIN-7853300001-RESP-GTD</v>
      </c>
      <c r="E118" s="35" t="str">
        <f>VLOOKUP(C118,[2]DATOS!$B$6:$E$1004,4,FALSE)</f>
        <v>10.236.63.226</v>
      </c>
      <c r="F118" s="35" t="str">
        <f>VLOOKUP(C118,[2]DATOS!$B$6:$P$1002,15,FALSE)</f>
        <v>MADERAS</v>
      </c>
      <c r="G118" s="35" t="s">
        <v>759</v>
      </c>
      <c r="H118" s="35" t="s">
        <v>949</v>
      </c>
      <c r="I118" s="38" t="s">
        <v>834</v>
      </c>
      <c r="J118" s="38" t="s">
        <v>14</v>
      </c>
      <c r="K118" s="46">
        <v>45867.521527777775</v>
      </c>
      <c r="L118" s="39">
        <f t="shared" si="3"/>
        <v>1.1805555550381541E-2</v>
      </c>
    </row>
    <row r="119" spans="1:12" s="37" customFormat="1" x14ac:dyDescent="0.25">
      <c r="A119" s="34">
        <v>45867.607638888891</v>
      </c>
      <c r="B119" s="35" t="s">
        <v>941</v>
      </c>
      <c r="C119" s="36">
        <v>10000389599</v>
      </c>
      <c r="D119" s="35" t="str">
        <f>VLOOKUP(C119,[2]DATOS!$B$6:$D$1004,3,FALSE)</f>
        <v>CMPC_SOREPA_PUDAHUEL_CAE_CEN_10000389599</v>
      </c>
      <c r="E119" s="35">
        <f>VLOOKUP(C119,[2]DATOS!$B$6:$E$1004,4,FALSE)</f>
        <v>10234136130</v>
      </c>
      <c r="F119" s="35" t="str">
        <f>VLOOKUP(C119,[2]DATOS!$B$6:$P$1002,15,FALSE)</f>
        <v>SOREPÄ</v>
      </c>
      <c r="G119" s="35" t="s">
        <v>895</v>
      </c>
      <c r="H119" s="35" t="s">
        <v>942</v>
      </c>
      <c r="I119" s="38" t="s">
        <v>874</v>
      </c>
      <c r="J119" s="38" t="s">
        <v>14</v>
      </c>
      <c r="K119" s="46">
        <v>45867.607638888891</v>
      </c>
      <c r="L119" s="39">
        <f t="shared" si="3"/>
        <v>0</v>
      </c>
    </row>
    <row r="120" spans="1:12" s="37" customFormat="1" x14ac:dyDescent="0.25">
      <c r="A120" s="34">
        <v>45867.607638888891</v>
      </c>
      <c r="B120" s="35" t="s">
        <v>943</v>
      </c>
      <c r="C120" s="36">
        <v>10000150630</v>
      </c>
      <c r="D120" s="35" t="e">
        <f>VLOOKUP(C120,[2]DATOS!$B$6:$D$1004,3,FALSE)</f>
        <v>#N/A</v>
      </c>
      <c r="E120" s="35" t="e">
        <f>VLOOKUP(C120,[2]DATOS!$B$6:$E$1004,4,FALSE)</f>
        <v>#N/A</v>
      </c>
      <c r="F120" s="35" t="e">
        <f>VLOOKUP(C120,[2]DATOS!$B$6:$P$1002,15,FALSE)</f>
        <v>#N/A</v>
      </c>
      <c r="G120" s="35" t="s">
        <v>895</v>
      </c>
      <c r="H120" s="35" t="s">
        <v>942</v>
      </c>
      <c r="I120" s="38" t="s">
        <v>874</v>
      </c>
      <c r="J120" s="38" t="s">
        <v>14</v>
      </c>
      <c r="K120" s="46">
        <v>45867.607638888891</v>
      </c>
      <c r="L120" s="39">
        <f t="shared" si="3"/>
        <v>0</v>
      </c>
    </row>
    <row r="121" spans="1:12" s="37" customFormat="1" x14ac:dyDescent="0.25">
      <c r="A121" s="34">
        <v>45867.607638888891</v>
      </c>
      <c r="B121" s="35" t="s">
        <v>944</v>
      </c>
      <c r="C121" s="36">
        <v>10000150616</v>
      </c>
      <c r="D121" s="35" t="e">
        <f>VLOOKUP(C121,[2]DATOS!$B$6:$D$1004,3,FALSE)</f>
        <v>#N/A</v>
      </c>
      <c r="E121" s="35" t="e">
        <f>VLOOKUP(C121,[2]DATOS!$B$6:$E$1004,4,FALSE)</f>
        <v>#N/A</v>
      </c>
      <c r="F121" s="35" t="e">
        <f>VLOOKUP(C121,[2]DATOS!$B$6:$P$1002,15,FALSE)</f>
        <v>#N/A</v>
      </c>
      <c r="G121" s="35" t="s">
        <v>895</v>
      </c>
      <c r="H121" s="35" t="s">
        <v>942</v>
      </c>
      <c r="I121" s="38" t="s">
        <v>874</v>
      </c>
      <c r="J121" s="38" t="s">
        <v>14</v>
      </c>
      <c r="K121" s="46">
        <v>45867.607638888891</v>
      </c>
      <c r="L121" s="39">
        <f t="shared" si="3"/>
        <v>0</v>
      </c>
    </row>
    <row r="122" spans="1:12" s="37" customFormat="1" x14ac:dyDescent="0.25">
      <c r="A122" s="34">
        <v>45868.645798611113</v>
      </c>
      <c r="B122" s="35" t="s">
        <v>945</v>
      </c>
      <c r="C122" s="42">
        <v>7853300001</v>
      </c>
      <c r="D122" s="35" t="str">
        <f>VLOOKUP(C122,[2]DATOS!$B$6:$D$1004,3,FALSE)</f>
        <v>CMPC-C-CEL-MADERAS-PLYWOOD-PRIN-7853300001-RESP-GTD</v>
      </c>
      <c r="E122" s="35" t="str">
        <f>VLOOKUP(C122,[2]DATOS!$B$6:$E$1004,4,FALSE)</f>
        <v>10.236.63.226</v>
      </c>
      <c r="F122" s="35" t="str">
        <f>VLOOKUP(C122,[2]DATOS!$B$6:$P$1002,15,FALSE)</f>
        <v>MADERAS</v>
      </c>
      <c r="G122" s="35" t="s">
        <v>759</v>
      </c>
      <c r="H122" s="35" t="s">
        <v>949</v>
      </c>
      <c r="I122" s="38" t="s">
        <v>834</v>
      </c>
      <c r="J122" s="38" t="s">
        <v>14</v>
      </c>
      <c r="K122" s="46">
        <v>45869.615277777775</v>
      </c>
      <c r="L122" s="39">
        <f t="shared" si="3"/>
        <v>0.96947916666249512</v>
      </c>
    </row>
    <row r="123" spans="1:12" s="37" customFormat="1" x14ac:dyDescent="0.25">
      <c r="A123" s="34">
        <v>45868.672905092593</v>
      </c>
      <c r="B123" s="35" t="s">
        <v>948</v>
      </c>
      <c r="C123" s="36">
        <v>10000058627</v>
      </c>
      <c r="D123" s="35" t="str">
        <f>VLOOKUP(C123,[2]DATOS!$B$6:$D$1004,3,FALSE)</f>
        <v>CMPC-C-CEL-PACIFICO-PRIN-10000058627</v>
      </c>
      <c r="E123" s="35" t="str">
        <f>VLOOKUP(C123,[2]DATOS!$B$6:$E$1004,4,FALSE)</f>
        <v>10.221.19.102</v>
      </c>
      <c r="F123" s="35" t="str">
        <f>VLOOKUP(C123,[2]DATOS!$B$6:$P$1002,15,FALSE)</f>
        <v>PULP</v>
      </c>
      <c r="G123" s="35" t="s">
        <v>759</v>
      </c>
      <c r="H123" s="35" t="s">
        <v>949</v>
      </c>
      <c r="I123" s="38" t="s">
        <v>834</v>
      </c>
      <c r="J123" s="38" t="s">
        <v>14</v>
      </c>
      <c r="K123" s="46">
        <v>45869.615277777775</v>
      </c>
      <c r="L123" s="39">
        <f t="shared" ref="L123:L154" si="4">K123-A123</f>
        <v>0.94237268518190831</v>
      </c>
    </row>
    <row r="124" spans="1:12" s="37" customFormat="1" x14ac:dyDescent="0.25">
      <c r="A124" s="34">
        <v>45868.678495370368</v>
      </c>
      <c r="B124" s="35" t="s">
        <v>947</v>
      </c>
      <c r="C124" s="36">
        <v>10000365255</v>
      </c>
      <c r="D124" s="35" t="str">
        <f>VLOOKUP(C124,[2]DATOS!$B$6:$D$1004,3,FALSE)</f>
        <v>CMPC-D-CEL-INTERNET-VILLA-MININCO-10000365255</v>
      </c>
      <c r="E124" s="35" t="str">
        <f>VLOOKUP(C124,[2]DATOS!$B$6:$E$1004,4,FALSE)</f>
        <v>192.168.101.78</v>
      </c>
      <c r="F124" s="35">
        <f>VLOOKUP(C124,[2]DATOS!$B$6:$P$1002,15,FALSE)</f>
        <v>0</v>
      </c>
      <c r="G124" s="35" t="s">
        <v>759</v>
      </c>
      <c r="H124" s="35" t="s">
        <v>949</v>
      </c>
      <c r="I124" s="38" t="s">
        <v>834</v>
      </c>
      <c r="J124" s="38" t="s">
        <v>14</v>
      </c>
      <c r="K124" s="46">
        <v>45869.615277777775</v>
      </c>
      <c r="L124" s="39">
        <f t="shared" si="4"/>
        <v>0.93678240740700858</v>
      </c>
    </row>
    <row r="125" spans="1:12" s="37" customFormat="1" x14ac:dyDescent="0.25">
      <c r="A125" s="34">
        <v>45869.206400462965</v>
      </c>
      <c r="B125" s="35" t="s">
        <v>950</v>
      </c>
      <c r="C125" s="36">
        <v>10000000824</v>
      </c>
      <c r="D125" s="35" t="str">
        <f>VLOOKUP(C125,[2]DATOS!$B$6:$D$1004,3,FALSE)</f>
        <v>CMPC-D-CEL-MADERAS-BUCALEMU-PRIN-10000000824-RESP-GTD</v>
      </c>
      <c r="E125" s="35" t="str">
        <f>VLOOKUP(C125,[2]DATOS!$B$6:$E$1004,4,FALSE)</f>
        <v>10.228.65.30</v>
      </c>
      <c r="F125" s="35" t="str">
        <f>VLOOKUP(C125,[2]DATOS!$B$6:$P$1002,15,FALSE)</f>
        <v>MADERAS</v>
      </c>
      <c r="G125" s="35" t="s">
        <v>759</v>
      </c>
      <c r="H125" s="35" t="s">
        <v>951</v>
      </c>
      <c r="I125" s="38" t="s">
        <v>864</v>
      </c>
      <c r="J125" s="38" t="s">
        <v>14</v>
      </c>
      <c r="K125" s="46">
        <v>45869.209027777775</v>
      </c>
      <c r="L125" s="39">
        <f t="shared" si="4"/>
        <v>2.6273148105246946E-3</v>
      </c>
    </row>
    <row r="126" spans="1:12" s="37" customFormat="1" x14ac:dyDescent="0.25">
      <c r="A126" s="34">
        <v>45869.423611111109</v>
      </c>
      <c r="B126" s="35" t="s">
        <v>952</v>
      </c>
      <c r="C126" s="36">
        <v>10000150616</v>
      </c>
      <c r="D126" s="35" t="e">
        <f>VLOOKUP(C126,[2]DATOS!$B$6:$D$1004,3,FALSE)</f>
        <v>#N/A</v>
      </c>
      <c r="E126" s="35" t="e">
        <f>VLOOKUP(C126,[2]DATOS!$B$6:$E$1004,4,FALSE)</f>
        <v>#N/A</v>
      </c>
      <c r="F126" s="35" t="e">
        <f>VLOOKUP(C126,[2]DATOS!$B$6:$P$1002,15,FALSE)</f>
        <v>#N/A</v>
      </c>
      <c r="G126" s="35" t="s">
        <v>895</v>
      </c>
      <c r="H126" s="35" t="s">
        <v>942</v>
      </c>
      <c r="I126" s="38" t="s">
        <v>874</v>
      </c>
      <c r="J126" s="38" t="s">
        <v>14</v>
      </c>
      <c r="K126" s="46">
        <v>45869.423611111109</v>
      </c>
      <c r="L126" s="39">
        <f t="shared" si="4"/>
        <v>0</v>
      </c>
    </row>
    <row r="127" spans="1:12" s="37" customFormat="1" x14ac:dyDescent="0.25">
      <c r="A127" s="34">
        <v>45869.423611111109</v>
      </c>
      <c r="B127" s="35" t="s">
        <v>953</v>
      </c>
      <c r="C127" s="36">
        <v>10000150630</v>
      </c>
      <c r="D127" s="35" t="e">
        <f>VLOOKUP(C127,[2]DATOS!$B$6:$D$1004,3,FALSE)</f>
        <v>#N/A</v>
      </c>
      <c r="E127" s="35" t="e">
        <f>VLOOKUP(C127,[2]DATOS!$B$6:$E$1004,4,FALSE)</f>
        <v>#N/A</v>
      </c>
      <c r="F127" s="35" t="e">
        <f>VLOOKUP(C127,[2]DATOS!$B$6:$P$1002,15,FALSE)</f>
        <v>#N/A</v>
      </c>
      <c r="G127" s="35" t="s">
        <v>895</v>
      </c>
      <c r="H127" s="35" t="s">
        <v>942</v>
      </c>
      <c r="I127" s="38" t="s">
        <v>874</v>
      </c>
      <c r="J127" s="38" t="s">
        <v>14</v>
      </c>
      <c r="K127" s="46">
        <v>45869.423611111109</v>
      </c>
      <c r="L127" s="39">
        <f t="shared" si="4"/>
        <v>0</v>
      </c>
    </row>
    <row r="128" spans="1:12" s="37" customFormat="1" x14ac:dyDescent="0.25">
      <c r="A128" s="34">
        <v>45869.429861111108</v>
      </c>
      <c r="B128" s="35" t="s">
        <v>954</v>
      </c>
      <c r="C128" s="36">
        <v>10000379551</v>
      </c>
      <c r="D128" s="35" t="str">
        <f>VLOOKUP(C128,[2]DATOS!$B$6:$D$1004,3,FALSE)</f>
        <v>CMPC-C-BIO-CHIMOLSA-PTE-ALTO-PRIN-10000379551-RESP-GTD</v>
      </c>
      <c r="E128" s="35" t="str">
        <f>VLOOKUP(C128,[2]DATOS!$B$6:$E$1004,4,FALSE)</f>
        <v>10.234.125.158</v>
      </c>
      <c r="F128" s="35" t="str">
        <f>VLOOKUP(C128,[2]DATOS!$B$6:$P$1002,15,FALSE)</f>
        <v>CORRUGADO</v>
      </c>
      <c r="G128" s="35" t="s">
        <v>759</v>
      </c>
      <c r="H128" s="35" t="s">
        <v>956</v>
      </c>
      <c r="I128" s="38" t="s">
        <v>836</v>
      </c>
      <c r="J128" s="38" t="s">
        <v>14</v>
      </c>
      <c r="K128" s="46">
        <v>45869.524305555555</v>
      </c>
      <c r="L128" s="39">
        <f t="shared" si="4"/>
        <v>9.4444444446708076E-2</v>
      </c>
    </row>
    <row r="129" spans="1:12" s="37" customFormat="1" x14ac:dyDescent="0.25">
      <c r="A129" s="34">
        <v>45869.530555555553</v>
      </c>
      <c r="B129" s="37" t="s">
        <v>955</v>
      </c>
      <c r="C129" s="36">
        <v>10000569834</v>
      </c>
      <c r="D129" s="35" t="str">
        <f>VLOOKUP(C129,[2]DATOS!$B$6:$D$1004,3,FALSE)</f>
        <v>CMPC-PAPELES-EIRA-OSORNO-UPS-T3-10000569834</v>
      </c>
      <c r="E129" s="35" t="str">
        <f>VLOOKUP(C129,[2]DATOS!$B$6:$E$1004,4,FALSE)</f>
        <v>10.236.111.166</v>
      </c>
      <c r="F129" s="35" t="str">
        <f>VLOOKUP(C129,[2]DATOS!$B$6:$P$1002,15,FALSE)</f>
        <v>CORRUGADO</v>
      </c>
      <c r="G129" s="35" t="s">
        <v>759</v>
      </c>
      <c r="H129" s="37" t="s">
        <v>957</v>
      </c>
      <c r="I129" s="38" t="s">
        <v>864</v>
      </c>
      <c r="J129" s="38" t="s">
        <v>14</v>
      </c>
      <c r="K129" s="46">
        <v>45877.402083333334</v>
      </c>
      <c r="L129" s="39">
        <f t="shared" si="4"/>
        <v>7.8715277777810115</v>
      </c>
    </row>
    <row r="130" spans="1:12" s="37" customFormat="1" x14ac:dyDescent="0.25">
      <c r="A130" s="34">
        <v>45871.607638888891</v>
      </c>
      <c r="B130" s="37" t="s">
        <v>958</v>
      </c>
      <c r="C130" s="36">
        <v>10000569834</v>
      </c>
      <c r="D130" s="35" t="str">
        <f>VLOOKUP(C130,[2]DATOS!$B$6:$D$1004,3,FALSE)</f>
        <v>CMPC-PAPELES-EIRA-OSORNO-UPS-T3-10000569834</v>
      </c>
      <c r="E130" s="35" t="str">
        <f>VLOOKUP(C130,[2]DATOS!$B$6:$E$1004,4,FALSE)</f>
        <v>10.236.111.166</v>
      </c>
      <c r="F130" s="35" t="str">
        <f>VLOOKUP(C130,[2]DATOS!$B$6:$P$1002,15,FALSE)</f>
        <v>CORRUGADO</v>
      </c>
      <c r="G130" s="35" t="s">
        <v>759</v>
      </c>
      <c r="H130" s="37" t="s">
        <v>959</v>
      </c>
      <c r="I130" s="38" t="s">
        <v>874</v>
      </c>
      <c r="J130" s="38" t="s">
        <v>14</v>
      </c>
      <c r="K130" s="46">
        <v>45871.607638888891</v>
      </c>
      <c r="L130" s="39">
        <f t="shared" si="4"/>
        <v>0</v>
      </c>
    </row>
    <row r="131" spans="1:12" s="37" customFormat="1" x14ac:dyDescent="0.25">
      <c r="A131" s="34">
        <v>45876.580960648149</v>
      </c>
      <c r="B131" s="37" t="s">
        <v>960</v>
      </c>
      <c r="C131" s="36">
        <v>10000000824</v>
      </c>
      <c r="D131" s="35" t="str">
        <f>VLOOKUP(C131,[2]DATOS!$B$6:$D$1004,3,FALSE)</f>
        <v>CMPC-D-CEL-MADERAS-BUCALEMU-PRIN-10000000824-RESP-GTD</v>
      </c>
      <c r="E131" s="35" t="str">
        <f>VLOOKUP(C131,[2]DATOS!$B$6:$E$1004,4,FALSE)</f>
        <v>10.228.65.30</v>
      </c>
      <c r="F131" s="35" t="str">
        <f>VLOOKUP(C131,[2]DATOS!$B$6:$P$1002,15,FALSE)</f>
        <v>MADERAS</v>
      </c>
      <c r="G131" s="35" t="s">
        <v>759</v>
      </c>
      <c r="H131" s="37" t="s">
        <v>961</v>
      </c>
      <c r="I131" s="38" t="s">
        <v>864</v>
      </c>
      <c r="J131" s="38" t="s">
        <v>14</v>
      </c>
      <c r="K131" s="46">
        <v>45876.581655092596</v>
      </c>
      <c r="L131" s="39">
        <f t="shared" si="4"/>
        <v>6.944444467080757E-4</v>
      </c>
    </row>
    <row r="132" spans="1:12" s="37" customFormat="1" x14ac:dyDescent="0.25">
      <c r="A132" s="34">
        <v>45876.711273148147</v>
      </c>
      <c r="B132" s="37" t="s">
        <v>963</v>
      </c>
      <c r="C132" s="40">
        <v>10000581653</v>
      </c>
      <c r="D132" s="35" t="str">
        <f>VLOOKUP(C132,[2]DATOS!$B$6:$D$1004,3,FALSE)</f>
        <v>CMPC-D-BIO-EDIPAC-TEMUCO-UPS-10000581653</v>
      </c>
      <c r="E132" s="35" t="str">
        <f>VLOOKUP(C132,[2]DATOS!$B$6:$E$1004,4,FALSE)</f>
        <v>10.236.111.62</v>
      </c>
      <c r="F132" s="35" t="str">
        <f>VLOOKUP(C132,[2]DATOS!$B$6:$P$1002,15,FALSE)</f>
        <v>EDIPAC</v>
      </c>
      <c r="G132" s="35" t="s">
        <v>759</v>
      </c>
      <c r="H132" s="35" t="s">
        <v>962</v>
      </c>
      <c r="I132" s="38" t="s">
        <v>864</v>
      </c>
      <c r="J132" s="38" t="s">
        <v>14</v>
      </c>
      <c r="K132" s="46">
        <v>45895.705266203702</v>
      </c>
      <c r="L132" s="39">
        <f t="shared" si="4"/>
        <v>18.99399305555562</v>
      </c>
    </row>
    <row r="133" spans="1:12" s="37" customFormat="1" x14ac:dyDescent="0.25">
      <c r="A133" s="34">
        <v>45877.848819444444</v>
      </c>
      <c r="B133" s="37" t="s">
        <v>965</v>
      </c>
      <c r="C133" s="36">
        <v>10000711182</v>
      </c>
      <c r="D133" s="35" t="str">
        <f>VLOOKUP(C133,[2]DATOS!$B$6:$D$1004,3,FALSE)</f>
        <v>CMPC-SOREPA-TALCA-10000711182</v>
      </c>
      <c r="E133" s="35" t="str">
        <f>VLOOKUP(C133,[2]DATOS!$B$6:$E$1004,4,FALSE)</f>
        <v>10.233.198.42</v>
      </c>
      <c r="F133" s="35" t="str">
        <f>VLOOKUP(C133,[2]DATOS!$B$6:$P$1002,15,FALSE)</f>
        <v>SOREPA</v>
      </c>
      <c r="G133" s="35" t="s">
        <v>759</v>
      </c>
      <c r="H133" s="37" t="s">
        <v>966</v>
      </c>
      <c r="I133" s="38" t="s">
        <v>833</v>
      </c>
      <c r="J133" s="38" t="s">
        <v>835</v>
      </c>
      <c r="K133" s="46">
        <v>45880.328472222223</v>
      </c>
      <c r="L133" s="39">
        <f t="shared" si="4"/>
        <v>2.4796527777798474</v>
      </c>
    </row>
    <row r="134" spans="1:12" s="37" customFormat="1" x14ac:dyDescent="0.25">
      <c r="A134" s="34">
        <v>45879.407152777778</v>
      </c>
      <c r="B134" s="37" t="s">
        <v>964</v>
      </c>
      <c r="C134" s="36">
        <v>7831420001</v>
      </c>
      <c r="D134" s="35" t="str">
        <f>VLOOKUP(C134,[2]DATOS!$B$6:$D$1004,3,FALSE)</f>
        <v>CMPC-D-CEL-MADERAS-CORONEL-PRIN-7831420001-RESP-GTD</v>
      </c>
      <c r="E134" s="35" t="str">
        <f>VLOOKUP(C134,[2]DATOS!$B$6:$E$1004,4,FALSE)</f>
        <v>10.220.168.234</v>
      </c>
      <c r="F134" s="35" t="str">
        <f>VLOOKUP(C134,[2]DATOS!$B$6:$P$1002,15,FALSE)</f>
        <v>MADERAS</v>
      </c>
      <c r="G134" s="35" t="s">
        <v>759</v>
      </c>
      <c r="H134" s="37" t="s">
        <v>967</v>
      </c>
      <c r="I134" s="38" t="s">
        <v>864</v>
      </c>
      <c r="J134" s="38" t="s">
        <v>14</v>
      </c>
      <c r="K134" s="46">
        <v>45879.705069444448</v>
      </c>
      <c r="L134" s="39">
        <f t="shared" si="4"/>
        <v>0.29791666667006211</v>
      </c>
    </row>
    <row r="135" spans="1:12" s="37" customFormat="1" x14ac:dyDescent="0.25">
      <c r="A135" s="34">
        <v>45879.555069444446</v>
      </c>
      <c r="B135" s="37" t="s">
        <v>968</v>
      </c>
      <c r="C135" s="36">
        <v>10000296104</v>
      </c>
      <c r="D135" s="35" t="str">
        <f>VLOOKUP(C135,[2]DATOS!$B$6:$D$1004,3,FALSE)</f>
        <v>CMPC-C-CEL-SANTA-FE-CEN-HOTLINE-10000296104</v>
      </c>
      <c r="E135" s="35" t="str">
        <f>VLOOKUP(C135,[2]DATOS!$B$6:$E$1004,4,FALSE)</f>
        <v>10.255.216.107</v>
      </c>
      <c r="F135" s="35" t="str">
        <f>VLOOKUP(C135,[2]DATOS!$B$6:$P$1002,15,FALSE)</f>
        <v>PULP</v>
      </c>
      <c r="G135" s="35" t="s">
        <v>759</v>
      </c>
      <c r="H135" s="37" t="s">
        <v>969</v>
      </c>
      <c r="I135" s="38" t="s">
        <v>862</v>
      </c>
      <c r="J135" s="38" t="s">
        <v>835</v>
      </c>
      <c r="K135" s="46">
        <v>45879.810624999998</v>
      </c>
      <c r="L135" s="39">
        <f t="shared" si="4"/>
        <v>0.25555555555183673</v>
      </c>
    </row>
    <row r="136" spans="1:12" s="37" customFormat="1" x14ac:dyDescent="0.25">
      <c r="A136" s="34">
        <v>45879.558506944442</v>
      </c>
      <c r="B136" s="37" t="s">
        <v>970</v>
      </c>
      <c r="C136" s="36">
        <v>10000058781</v>
      </c>
      <c r="D136" s="35" t="str">
        <f>VLOOKUP(C136,[2]DATOS!$B$6:$D$1004,3,FALSE)</f>
        <v>CMPC-C-CEL-SANTA-FE-PRIN-10000058781-RESP-GTD</v>
      </c>
      <c r="E136" s="35" t="str">
        <f>VLOOKUP(C136,[2]DATOS!$B$6:$E$1004,4,FALSE)</f>
        <v>10.221.19.98</v>
      </c>
      <c r="F136" s="35" t="str">
        <f>VLOOKUP(C136,[2]DATOS!$B$6:$P$1002,15,FALSE)</f>
        <v>PULP</v>
      </c>
      <c r="G136" s="35" t="s">
        <v>759</v>
      </c>
      <c r="H136" s="37" t="s">
        <v>969</v>
      </c>
      <c r="I136" s="38" t="s">
        <v>862</v>
      </c>
      <c r="J136" s="38" t="s">
        <v>835</v>
      </c>
      <c r="K136" s="46">
        <v>45879.810624999998</v>
      </c>
      <c r="L136" s="39">
        <f t="shared" si="4"/>
        <v>0.25211805555591127</v>
      </c>
    </row>
    <row r="137" spans="1:12" s="37" customFormat="1" x14ac:dyDescent="0.25">
      <c r="A137" s="34">
        <v>45883.39435185185</v>
      </c>
      <c r="B137" s="37" t="s">
        <v>971</v>
      </c>
      <c r="C137" s="36">
        <v>6394310001</v>
      </c>
      <c r="D137" s="35" t="e">
        <f>VLOOKUP(C137,[2]DATOS!$B$6:$D$1004,3,FALSE)</f>
        <v>#N/A</v>
      </c>
      <c r="E137" s="35" t="e">
        <f>VLOOKUP(C137,[2]DATOS!$B$6:$E$1004,4,FALSE)</f>
        <v>#N/A</v>
      </c>
      <c r="F137" s="35" t="e">
        <f>VLOOKUP(C137,[2]DATOS!$B$6:$P$1002,15,FALSE)</f>
        <v>#N/A</v>
      </c>
      <c r="G137" s="37" t="s">
        <v>876</v>
      </c>
      <c r="H137" s="37" t="s">
        <v>972</v>
      </c>
      <c r="I137" s="38" t="s">
        <v>864</v>
      </c>
      <c r="J137" s="38" t="s">
        <v>14</v>
      </c>
      <c r="K137" s="46">
        <v>45883.691828703704</v>
      </c>
      <c r="L137" s="39">
        <f t="shared" si="4"/>
        <v>0.29747685185429873</v>
      </c>
    </row>
    <row r="138" spans="1:12" s="37" customFormat="1" x14ac:dyDescent="0.25">
      <c r="A138" s="34">
        <v>45886.544814814813</v>
      </c>
      <c r="B138" s="37" t="s">
        <v>973</v>
      </c>
      <c r="C138" s="36">
        <v>10000022234</v>
      </c>
      <c r="D138" s="35" t="str">
        <f>VLOOKUP(C138,[2]DATOS!$B$6:$D$1004,3,FALSE)</f>
        <v>CMPC-C-CEL-LAJA-PRIN-10000022234</v>
      </c>
      <c r="E138" s="35" t="str">
        <f>VLOOKUP(C138,[2]DATOS!$B$6:$E$1004,4,FALSE)</f>
        <v>10.221.19.138</v>
      </c>
      <c r="F138" s="35" t="str">
        <f>VLOOKUP(C138,[2]DATOS!$B$6:$P$1002,15,FALSE)</f>
        <v>CELULOSA</v>
      </c>
      <c r="G138" s="35" t="s">
        <v>759</v>
      </c>
      <c r="H138" s="35" t="s">
        <v>926</v>
      </c>
      <c r="I138" s="38" t="s">
        <v>864</v>
      </c>
      <c r="J138" s="38" t="s">
        <v>14</v>
      </c>
      <c r="K138" s="46">
        <v>45886.655555555553</v>
      </c>
      <c r="L138" s="39">
        <f t="shared" si="4"/>
        <v>0.11074074073985685</v>
      </c>
    </row>
    <row r="139" spans="1:12" s="37" customFormat="1" x14ac:dyDescent="0.25">
      <c r="A139" s="34">
        <v>45888.70453703704</v>
      </c>
      <c r="B139" s="41" t="s">
        <v>4</v>
      </c>
      <c r="C139" s="36">
        <v>10000581659</v>
      </c>
      <c r="D139" s="35" t="str">
        <f>VLOOKUP(C139,[2]DATOS!$B$6:$D$1004,3,FALSE)</f>
        <v>CMPC-D-BIO-ENVASES-ROBLE-ALTO-BUIN-UPS-10000581659</v>
      </c>
      <c r="E139" s="35" t="str">
        <f>VLOOKUP(C139,[2]DATOS!$B$6:$E$1004,4,FALSE)</f>
        <v>10.236.111.174</v>
      </c>
      <c r="F139" s="35" t="str">
        <f>VLOOKUP(C139,[2]DATOS!$B$6:$P$1002,15,FALSE)</f>
        <v>CORRUGADO</v>
      </c>
      <c r="G139" s="35" t="s">
        <v>759</v>
      </c>
      <c r="H139" s="35" t="s">
        <v>919</v>
      </c>
      <c r="I139" s="38" t="s">
        <v>833</v>
      </c>
      <c r="J139" s="38" t="s">
        <v>835</v>
      </c>
      <c r="K139" s="46">
        <v>45888.726388888892</v>
      </c>
      <c r="L139" s="39">
        <f t="shared" si="4"/>
        <v>2.1851851852261461E-2</v>
      </c>
    </row>
    <row r="140" spans="1:12" s="37" customFormat="1" x14ac:dyDescent="0.25">
      <c r="A140" s="34">
        <v>45889.511504629627</v>
      </c>
      <c r="B140" s="37" t="s">
        <v>976</v>
      </c>
      <c r="C140" s="36">
        <v>10000569562</v>
      </c>
      <c r="D140" s="35" t="str">
        <f>VLOOKUP(C140,[2]DATOS!$B$6:$D$1004,3,FALSE)</f>
        <v>CMPC-B-CEL-MADERAS-LOS-ANGELES-ED-CORP-UPS-10000569562</v>
      </c>
      <c r="E140" s="35" t="str">
        <f>VLOOKUP(C140,[2]DATOS!$B$6:$E$1004,4,FALSE)</f>
        <v>10.236.111.94</v>
      </c>
      <c r="F140" s="35" t="str">
        <f>VLOOKUP(C140,[2]DATOS!$B$6:$P$1002,15,FALSE)</f>
        <v>FORESTAL</v>
      </c>
      <c r="G140" s="35" t="s">
        <v>759</v>
      </c>
      <c r="H140" s="35" t="s">
        <v>977</v>
      </c>
      <c r="I140" s="38" t="s">
        <v>975</v>
      </c>
      <c r="J140" s="38" t="s">
        <v>835</v>
      </c>
      <c r="K140" s="46">
        <v>45889.646527777775</v>
      </c>
      <c r="L140" s="39">
        <f t="shared" si="4"/>
        <v>0.13502314814832062</v>
      </c>
    </row>
    <row r="141" spans="1:12" s="37" customFormat="1" x14ac:dyDescent="0.25">
      <c r="A141" s="34">
        <v>45891.158136574071</v>
      </c>
      <c r="B141" s="37" t="s">
        <v>978</v>
      </c>
      <c r="C141" s="36">
        <v>6999080001</v>
      </c>
      <c r="D141" s="35" t="str">
        <f>VLOOKUP(C141,[2]DATOS!$B$6:$D$1004,3,FALSE)</f>
        <v>CMPC-D-BIO-SOREPA-COQUIMBO-PRIN-6999080001-RESP-GTD</v>
      </c>
      <c r="E141" s="35" t="str">
        <f>VLOOKUP(C141,[2]DATOS!$B$6:$E$1004,4,FALSE)</f>
        <v>10.220.168.118</v>
      </c>
      <c r="F141" s="35" t="str">
        <f>VLOOKUP(C141,[2]DATOS!$B$6:$P$1002,15,FALSE)</f>
        <v>CORRUGADO</v>
      </c>
      <c r="G141" s="35" t="s">
        <v>759</v>
      </c>
      <c r="H141" s="37" t="s">
        <v>979</v>
      </c>
      <c r="I141" s="38" t="s">
        <v>834</v>
      </c>
      <c r="J141" s="38" t="s">
        <v>14</v>
      </c>
      <c r="K141" s="46">
        <v>45894.318055555559</v>
      </c>
      <c r="L141" s="39">
        <f t="shared" si="4"/>
        <v>3.1599189814878628</v>
      </c>
    </row>
    <row r="142" spans="1:12" s="37" customFormat="1" x14ac:dyDescent="0.25">
      <c r="A142" s="34">
        <v>45894.372719907406</v>
      </c>
      <c r="B142" s="41" t="s">
        <v>981</v>
      </c>
      <c r="C142" s="36">
        <v>10000057950</v>
      </c>
      <c r="D142" s="35" t="str">
        <f>VLOOKUP(C142,[2]DATOS!$B$6:$D$1004,3,FALSE)</f>
        <v>CMPC-D-BIO-ENVASES-ROBLE-ALTO-BUIN-PRIN-10000057950-RESP-GTD</v>
      </c>
      <c r="E142" s="35" t="str">
        <f>VLOOKUP(C142,[2]DATOS!$B$6:$E$1004,4,FALSE)</f>
        <v>10.228.65.46</v>
      </c>
      <c r="F142" s="35" t="str">
        <f>VLOOKUP(C142,[2]DATOS!$B$6:$P$1002,15,FALSE)</f>
        <v>CORRUGADO</v>
      </c>
      <c r="G142" s="35" t="s">
        <v>759</v>
      </c>
      <c r="H142" s="37" t="s">
        <v>980</v>
      </c>
      <c r="I142" s="38" t="s">
        <v>833</v>
      </c>
      <c r="J142" s="38" t="s">
        <v>835</v>
      </c>
      <c r="K142" s="46">
        <v>45894.384027777778</v>
      </c>
      <c r="L142" s="39">
        <f t="shared" si="4"/>
        <v>1.1307870372547768E-2</v>
      </c>
    </row>
    <row r="143" spans="1:12" s="37" customFormat="1" x14ac:dyDescent="0.25">
      <c r="A143" s="34">
        <v>45895.725034722222</v>
      </c>
      <c r="B143" s="37" t="s">
        <v>982</v>
      </c>
      <c r="C143" s="36">
        <v>7016120002</v>
      </c>
      <c r="D143" s="35" t="str">
        <f>VLOOKUP(C143,[2]DATOS!$B$6:$D$1004,3,FALSE)</f>
        <v>CMPC-D-TERCEROS-GENESYS-UNIC-7016120002</v>
      </c>
      <c r="E143" s="35" t="str">
        <f>VLOOKUP(C143,[2]DATOS!$B$6:$E$1004,4,FALSE)</f>
        <v>10.220.113.6</v>
      </c>
      <c r="F143" s="35" t="str">
        <f>VLOOKUP(C143,[2]DATOS!$B$6:$P$1002,15,FALSE)</f>
        <v>PULP</v>
      </c>
      <c r="G143" s="35" t="s">
        <v>759</v>
      </c>
      <c r="H143" s="37" t="s">
        <v>983</v>
      </c>
      <c r="I143" s="38" t="s">
        <v>834</v>
      </c>
      <c r="J143" s="38" t="s">
        <v>14</v>
      </c>
      <c r="K143" s="46">
        <v>45897.548611111109</v>
      </c>
      <c r="L143" s="39">
        <f t="shared" si="4"/>
        <v>1.8235763888878864</v>
      </c>
    </row>
    <row r="144" spans="1:12" s="37" customFormat="1" x14ac:dyDescent="0.25">
      <c r="A144" s="34">
        <v>45901.412546296298</v>
      </c>
      <c r="B144" s="37" t="s">
        <v>984</v>
      </c>
      <c r="C144" s="36">
        <v>7823550001</v>
      </c>
      <c r="D144" s="35" t="str">
        <f>VLOOKUP(C144,[2]DATOS!$B$6:$D$1004,3,FALSE)</f>
        <v>CMPC-C-BIO-EDIPAC-QUILICURA-PRIN-7823550001-RESP-GTD</v>
      </c>
      <c r="E144" s="35" t="str">
        <f>VLOOKUP(C144,[2]DATOS!$B$6:$E$1004,4,FALSE)</f>
        <v>10.220.168.86</v>
      </c>
      <c r="F144" s="35" t="str">
        <f>VLOOKUP(C144,[2]DATOS!$B$6:$P$1002,15,FALSE)</f>
        <v>EDIPAC</v>
      </c>
      <c r="G144" s="35" t="s">
        <v>759</v>
      </c>
      <c r="H144" s="37" t="s">
        <v>985</v>
      </c>
      <c r="I144" s="38" t="s">
        <v>974</v>
      </c>
      <c r="J144" s="38" t="s">
        <v>14</v>
      </c>
      <c r="K144" s="46">
        <v>45904.66542824074</v>
      </c>
      <c r="L144" s="39">
        <f t="shared" si="4"/>
        <v>3.2528819444414694</v>
      </c>
    </row>
    <row r="145" spans="1:12" s="37" customFormat="1" x14ac:dyDescent="0.25">
      <c r="A145" s="34">
        <v>45901.467199074075</v>
      </c>
      <c r="B145" s="37" t="s">
        <v>986</v>
      </c>
      <c r="C145" s="36">
        <v>7096170001</v>
      </c>
      <c r="D145" s="35" t="str">
        <f>VLOOKUP(C145,[2]DATOS!$B$6:$D$1004,3,FALSE)</f>
        <v>CMPC-C-CEL-PACIFICO-TELEFONIA-7096170001</v>
      </c>
      <c r="E145" s="35" t="str">
        <f>VLOOKUP(C145,[2]DATOS!$B$6:$E$1004,4,FALSE)</f>
        <v>10.96.2.164</v>
      </c>
      <c r="F145" s="35" t="str">
        <f>VLOOKUP(C145,[2]DATOS!$B$6:$P$1002,15,FALSE)</f>
        <v>PULP</v>
      </c>
      <c r="G145" s="35" t="s">
        <v>759</v>
      </c>
      <c r="H145" s="37" t="s">
        <v>989</v>
      </c>
      <c r="I145" s="38" t="s">
        <v>974</v>
      </c>
      <c r="J145" s="38" t="s">
        <v>14</v>
      </c>
      <c r="K145" s="46">
        <v>45902.573298611111</v>
      </c>
      <c r="L145" s="39">
        <f t="shared" si="4"/>
        <v>1.1060995370353339</v>
      </c>
    </row>
    <row r="146" spans="1:12" s="37" customFormat="1" x14ac:dyDescent="0.25">
      <c r="A146" s="34">
        <v>45903.678784722222</v>
      </c>
      <c r="B146" s="37" t="s">
        <v>987</v>
      </c>
      <c r="C146" s="36">
        <v>10000058617</v>
      </c>
      <c r="D146" s="35" t="str">
        <f>VLOOKUP(C146,[2]DATOS!$B$6:$D$1004,3,FALSE)</f>
        <v>CMPC-C-BIO-CARTULINAS-MAULE-PRIN-10000058617-RESP-GTD</v>
      </c>
      <c r="E146" s="35" t="str">
        <f>VLOOKUP(C146,[2]DATOS!$B$6:$E$1004,4,FALSE)</f>
        <v>10.221.19.94</v>
      </c>
      <c r="F146" s="35" t="str">
        <f>VLOOKUP(C146,[2]DATOS!$B$6:$P$1002,15,FALSE)</f>
        <v>BOXBOARD</v>
      </c>
      <c r="G146" s="35" t="s">
        <v>759</v>
      </c>
      <c r="H146" s="37" t="s">
        <v>988</v>
      </c>
      <c r="I146" s="38" t="s">
        <v>873</v>
      </c>
      <c r="J146" s="38" t="s">
        <v>14</v>
      </c>
      <c r="K146" s="46">
        <v>45903.778680555559</v>
      </c>
      <c r="L146" s="39">
        <f t="shared" si="4"/>
        <v>9.9895833336631767E-2</v>
      </c>
    </row>
    <row r="147" spans="1:12" s="37" customFormat="1" x14ac:dyDescent="0.25">
      <c r="A147" s="34">
        <v>45905.406111111108</v>
      </c>
      <c r="B147" s="37" t="s">
        <v>990</v>
      </c>
      <c r="C147" s="36">
        <v>10000058617</v>
      </c>
      <c r="D147" s="35" t="str">
        <f>VLOOKUP(C147,[2]DATOS!$B$6:$D$1004,3,FALSE)</f>
        <v>CMPC-C-BIO-CARTULINAS-MAULE-PRIN-10000058617-RESP-GTD</v>
      </c>
      <c r="E147" s="35" t="str">
        <f>VLOOKUP(C147,[2]DATOS!$B$6:$E$1004,4,FALSE)</f>
        <v>10.221.19.94</v>
      </c>
      <c r="F147" s="35" t="str">
        <f>VLOOKUP(C147,[2]DATOS!$B$6:$P$1002,15,FALSE)</f>
        <v>BOXBOARD</v>
      </c>
      <c r="G147" s="35" t="s">
        <v>759</v>
      </c>
      <c r="H147" s="37" t="s">
        <v>988</v>
      </c>
      <c r="I147" s="38" t="s">
        <v>873</v>
      </c>
      <c r="J147" s="38" t="s">
        <v>14</v>
      </c>
      <c r="K147" s="46">
        <v>45905.582152777781</v>
      </c>
      <c r="L147" s="39">
        <f t="shared" si="4"/>
        <v>0.1760416666729725</v>
      </c>
    </row>
    <row r="148" spans="1:12" s="37" customFormat="1" x14ac:dyDescent="0.25">
      <c r="A148" s="34">
        <v>45905.418703703705</v>
      </c>
      <c r="B148" s="37" t="s">
        <v>991</v>
      </c>
      <c r="C148" s="36">
        <v>10000000853</v>
      </c>
      <c r="D148" s="35" t="str">
        <f>VLOOKUP(C148,[2]DATOS!$B$6:$D$1004,3,FALSE)</f>
        <v>CMPC-D-CEL-MADERAS-MULCHEN-PRIN-10000000853-RESP-GTD</v>
      </c>
      <c r="E148" s="35" t="str">
        <f>VLOOKUP(C148,[2]DATOS!$B$6:$E$1004,4,FALSE)</f>
        <v>10.228.65.62</v>
      </c>
      <c r="F148" s="35" t="str">
        <f>VLOOKUP(C148,[2]DATOS!$B$6:$P$1002,15,FALSE)</f>
        <v>MADERAS</v>
      </c>
      <c r="G148" s="35" t="s">
        <v>759</v>
      </c>
      <c r="H148" s="37" t="s">
        <v>992</v>
      </c>
      <c r="I148" s="38" t="s">
        <v>834</v>
      </c>
      <c r="J148" s="38" t="s">
        <v>14</v>
      </c>
      <c r="K148" s="46">
        <v>45905.612708333334</v>
      </c>
      <c r="L148" s="39">
        <f t="shared" si="4"/>
        <v>0.1940046296294895</v>
      </c>
    </row>
    <row r="149" spans="1:12" s="37" customFormat="1" x14ac:dyDescent="0.25">
      <c r="A149" s="34">
        <v>45907.431898148148</v>
      </c>
      <c r="B149" s="41" t="s">
        <v>4</v>
      </c>
      <c r="C149" s="36">
        <v>10000581483</v>
      </c>
      <c r="D149" s="35" t="str">
        <f>VLOOKUP(C149,[2]DATOS!$B$6:$D$1004,3,FALSE)</f>
        <v>CMPC-D-CEL-MADERAS-BUCALEMU-UPS-10000581483</v>
      </c>
      <c r="E149" s="35" t="str">
        <f>VLOOKUP(C149,[2]DATOS!$B$6:$E$1004,4,FALSE)</f>
        <v>10.236.111.30</v>
      </c>
      <c r="F149" s="35" t="str">
        <f>VLOOKUP(C149,[2]DATOS!$B$6:$P$1002,15,FALSE)</f>
        <v>MADERAS</v>
      </c>
      <c r="G149" s="35" t="s">
        <v>759</v>
      </c>
      <c r="H149" s="37" t="s">
        <v>994</v>
      </c>
      <c r="I149" s="38" t="s">
        <v>993</v>
      </c>
      <c r="J149" s="38" t="s">
        <v>835</v>
      </c>
      <c r="K149" s="46">
        <v>45907.439791666664</v>
      </c>
      <c r="L149" s="39">
        <f t="shared" si="4"/>
        <v>7.8935185156296939E-3</v>
      </c>
    </row>
    <row r="150" spans="1:12" s="37" customFormat="1" x14ac:dyDescent="0.25">
      <c r="A150" s="34">
        <v>45910.844467592593</v>
      </c>
      <c r="B150" s="37" t="s">
        <v>995</v>
      </c>
      <c r="C150" s="36">
        <v>10000000853</v>
      </c>
      <c r="D150" s="35" t="str">
        <f>VLOOKUP(C150,[2]DATOS!$B$6:$D$1004,3,FALSE)</f>
        <v>CMPC-D-CEL-MADERAS-MULCHEN-PRIN-10000000853-RESP-GTD</v>
      </c>
      <c r="E150" s="35" t="str">
        <f>VLOOKUP(C150,[2]DATOS!$B$6:$E$1004,4,FALSE)</f>
        <v>10.228.65.62</v>
      </c>
      <c r="F150" s="35" t="str">
        <f>VLOOKUP(C150,[2]DATOS!$B$6:$P$1002,15,FALSE)</f>
        <v>MADERAS</v>
      </c>
      <c r="G150" s="35" t="s">
        <v>759</v>
      </c>
      <c r="H150" s="37" t="s">
        <v>996</v>
      </c>
      <c r="I150" s="38" t="s">
        <v>974</v>
      </c>
      <c r="J150" s="38" t="s">
        <v>14</v>
      </c>
      <c r="K150" s="46">
        <v>45910.855578703704</v>
      </c>
      <c r="L150" s="39">
        <f t="shared" si="4"/>
        <v>1.1111111110949423E-2</v>
      </c>
    </row>
    <row r="151" spans="1:12" s="37" customFormat="1" x14ac:dyDescent="0.25">
      <c r="A151" s="34">
        <v>45911.402291666665</v>
      </c>
      <c r="B151" s="37" t="s">
        <v>997</v>
      </c>
      <c r="C151" s="36">
        <v>10000011130</v>
      </c>
      <c r="D151" s="35" t="str">
        <f>VLOOKUP(C151,[2]DATOS!$B$6:$D$1004,3,FALSE)</f>
        <v>CMPC_FUNDACION_P.ALESSANDRI_CASETA_10000011130</v>
      </c>
      <c r="E151" s="35" t="str">
        <f>VLOOKUP(C151,[2]DATOS!$B$6:$E$1004,4,FALSE)</f>
        <v>10.221.19.50</v>
      </c>
      <c r="F151" s="35" t="str">
        <f>VLOOKUP(C151,[2]DATOS!$B$6:$P$1002,15,FALSE)</f>
        <v>FORESTAL</v>
      </c>
      <c r="G151" s="35" t="s">
        <v>759</v>
      </c>
      <c r="H151" s="37" t="s">
        <v>998</v>
      </c>
      <c r="I151" s="38" t="s">
        <v>836</v>
      </c>
      <c r="J151" s="38" t="s">
        <v>14</v>
      </c>
      <c r="K151" s="46">
        <v>45911.445856481485</v>
      </c>
      <c r="L151" s="39">
        <f t="shared" si="4"/>
        <v>4.3564814819546882E-2</v>
      </c>
    </row>
    <row r="152" spans="1:12" s="37" customFormat="1" x14ac:dyDescent="0.25">
      <c r="A152" s="34">
        <v>45911.710625</v>
      </c>
      <c r="B152" s="41" t="s">
        <v>4</v>
      </c>
      <c r="C152" s="36">
        <v>10000000822</v>
      </c>
      <c r="D152" s="35" t="str">
        <f>VLOOKUP(C152,[2]DATOS!$B$6:$D$1004,3,FALSE)</f>
        <v>CMPC-C-CEL-MADERAS-PLANTA-CLEAR-PRIN-10000000822-RESP-GTD</v>
      </c>
      <c r="E152" s="35" t="str">
        <f>VLOOKUP(C152,[2]DATOS!$B$6:$E$1004,4,FALSE)</f>
        <v>10.228.65.66</v>
      </c>
      <c r="F152" s="35" t="str">
        <f>VLOOKUP(C152,[2]DATOS!$B$6:$P$1002,15,FALSE)</f>
        <v>MADERAS</v>
      </c>
      <c r="G152" s="35" t="s">
        <v>759</v>
      </c>
      <c r="H152" s="35" t="s">
        <v>919</v>
      </c>
      <c r="I152" s="38" t="s">
        <v>993</v>
      </c>
      <c r="J152" s="38" t="s">
        <v>835</v>
      </c>
      <c r="K152" s="46">
        <v>45911.723634259259</v>
      </c>
      <c r="L152" s="39">
        <f t="shared" si="4"/>
        <v>1.3009259258979E-2</v>
      </c>
    </row>
    <row r="153" spans="1:12" s="37" customFormat="1" x14ac:dyDescent="0.25">
      <c r="A153" s="34">
        <v>45912.421284722222</v>
      </c>
      <c r="B153" s="37" t="s">
        <v>999</v>
      </c>
      <c r="C153" s="36">
        <v>10000569819</v>
      </c>
      <c r="D153" s="35" t="str">
        <f>VLOOKUP(C153,[2]DATOS!$B$6:$D$1004,3,FALSE)</f>
        <v>CMPC-C-CEL-MADERAS-PLANTA-CLEAR-UPS-10000569819</v>
      </c>
      <c r="E153" s="35" t="str">
        <f>VLOOKUP(C153,[2]DATOS!$B$6:$E$1004,4,FALSE)</f>
        <v>10.234.179.78</v>
      </c>
      <c r="F153" s="35" t="str">
        <f>VLOOKUP(C153,[2]DATOS!$B$6:$P$1002,15,FALSE)</f>
        <v>MADERAS</v>
      </c>
      <c r="G153" s="37" t="s">
        <v>1000</v>
      </c>
      <c r="H153" s="37" t="s">
        <v>1001</v>
      </c>
      <c r="I153" s="38" t="s">
        <v>974</v>
      </c>
      <c r="J153" s="38" t="s">
        <v>14</v>
      </c>
      <c r="K153" s="46">
        <v>46001.533356481479</v>
      </c>
      <c r="L153" s="39">
        <f t="shared" si="4"/>
        <v>89.112071759256651</v>
      </c>
    </row>
    <row r="154" spans="1:12" s="37" customFormat="1" x14ac:dyDescent="0.25">
      <c r="A154" s="34">
        <v>45915.596979166665</v>
      </c>
      <c r="B154" s="41" t="s">
        <v>4</v>
      </c>
      <c r="C154" s="36">
        <v>10000711182</v>
      </c>
      <c r="D154" s="35" t="str">
        <f>VLOOKUP(C154,[2]DATOS!$B$6:$D$1004,3,FALSE)</f>
        <v>CMPC-SOREPA-TALCA-10000711182</v>
      </c>
      <c r="E154" s="35" t="str">
        <f>VLOOKUP(C154,[2]DATOS!$B$6:$E$1004,4,FALSE)</f>
        <v>10.233.198.42</v>
      </c>
      <c r="F154" s="35" t="str">
        <f>VLOOKUP(C154,[2]DATOS!$B$6:$P$1002,15,FALSE)</f>
        <v>SOREPA</v>
      </c>
      <c r="G154" s="35" t="s">
        <v>759</v>
      </c>
      <c r="H154" s="37" t="s">
        <v>1002</v>
      </c>
      <c r="I154" s="38" t="s">
        <v>833</v>
      </c>
      <c r="J154" s="38" t="s">
        <v>835</v>
      </c>
      <c r="K154" s="46">
        <v>45915.612523148149</v>
      </c>
      <c r="L154" s="39">
        <f t="shared" si="4"/>
        <v>1.5543981484370306E-2</v>
      </c>
    </row>
    <row r="155" spans="1:12" s="37" customFormat="1" x14ac:dyDescent="0.25">
      <c r="A155" s="34">
        <v>45915.971435185187</v>
      </c>
      <c r="B155" s="37" t="s">
        <v>1003</v>
      </c>
      <c r="C155" s="36">
        <v>10000372140</v>
      </c>
      <c r="D155" s="35" t="str">
        <f>VLOOKUP(C155,[2]DATOS!$B$6:$D$1004,3,FALSE)</f>
        <v>CMPC-PAPELES-EIRA-OSORNO-SERV1-SW-10000372140</v>
      </c>
      <c r="E155" s="35" t="str">
        <f>VLOOKUP(C155,[2]DATOS!$B$6:$E$1004,4,FALSE)</f>
        <v>10.235.87.236</v>
      </c>
      <c r="F155" s="35" t="str">
        <f>VLOOKUP(C155,[2]DATOS!$B$6:$P$1002,15,FALSE)</f>
        <v>CORRUGADO</v>
      </c>
      <c r="G155" s="37" t="s">
        <v>1004</v>
      </c>
      <c r="H155" s="37" t="s">
        <v>1016</v>
      </c>
      <c r="I155" s="38" t="s">
        <v>975</v>
      </c>
      <c r="J155" s="38" t="s">
        <v>835</v>
      </c>
      <c r="K155" s="46">
        <v>45916.501296296294</v>
      </c>
      <c r="L155" s="39">
        <f t="shared" ref="L155:L186" si="5">K155-A155</f>
        <v>0.52986111110658385</v>
      </c>
    </row>
    <row r="156" spans="1:12" s="37" customFormat="1" x14ac:dyDescent="0.25">
      <c r="A156" s="34">
        <v>45916.45045138889</v>
      </c>
      <c r="B156" s="37" t="s">
        <v>4</v>
      </c>
      <c r="C156" s="36">
        <v>10000577752</v>
      </c>
      <c r="D156" s="35" t="str">
        <f>VLOOKUP(C156,[2]DATOS!$B$6:$D$1004,3,FALSE)</f>
        <v>CMPC-D-CEL-C.PINARES-INTERNET-10000577752</v>
      </c>
      <c r="E156" s="35" t="str">
        <f>VLOOKUP(C156,[2]DATOS!$B$6:$E$1004,4,FALSE)</f>
        <v>10.234.150.114</v>
      </c>
      <c r="F156" s="35" t="str">
        <f>VLOOKUP(C156,[2]DATOS!$B$6:$P$1002,15,FALSE)</f>
        <v>CELULOSA</v>
      </c>
      <c r="G156" s="35" t="s">
        <v>759</v>
      </c>
      <c r="H156" s="37" t="s">
        <v>1005</v>
      </c>
      <c r="I156" s="38" t="s">
        <v>975</v>
      </c>
      <c r="J156" s="38" t="s">
        <v>835</v>
      </c>
      <c r="K156" s="46">
        <v>45916.739606481482</v>
      </c>
      <c r="L156" s="39">
        <f t="shared" si="5"/>
        <v>0.28915509259240935</v>
      </c>
    </row>
    <row r="157" spans="1:12" s="37" customFormat="1" x14ac:dyDescent="0.25">
      <c r="A157" s="34">
        <v>45916.732395833336</v>
      </c>
      <c r="B157" s="37" t="s">
        <v>4</v>
      </c>
      <c r="C157" s="43">
        <v>10000711182</v>
      </c>
      <c r="D157" s="35" t="str">
        <f>VLOOKUP(C157,[2]DATOS!$B$6:$D$1004,3,FALSE)</f>
        <v>CMPC-SOREPA-TALCA-10000711182</v>
      </c>
      <c r="E157" s="35" t="str">
        <f>VLOOKUP(C157,[2]DATOS!$B$6:$E$1004,4,FALSE)</f>
        <v>10.233.198.42</v>
      </c>
      <c r="F157" s="35" t="str">
        <f>VLOOKUP(C157,[2]DATOS!$B$6:$P$1002,15,FALSE)</f>
        <v>SOREPA</v>
      </c>
      <c r="G157" s="35" t="s">
        <v>759</v>
      </c>
      <c r="H157" s="37" t="s">
        <v>1002</v>
      </c>
      <c r="I157" s="38" t="s">
        <v>833</v>
      </c>
      <c r="J157" s="38" t="s">
        <v>835</v>
      </c>
      <c r="K157" s="46">
        <v>45922.332071759258</v>
      </c>
      <c r="L157" s="39">
        <f t="shared" si="5"/>
        <v>5.5996759259214741</v>
      </c>
    </row>
    <row r="158" spans="1:12" s="37" customFormat="1" x14ac:dyDescent="0.25">
      <c r="A158" s="34">
        <v>45917.232986111114</v>
      </c>
      <c r="B158" s="37" t="s">
        <v>1006</v>
      </c>
      <c r="C158" s="36">
        <v>10000304622</v>
      </c>
      <c r="D158" s="35" t="str">
        <f>VLOOKUP(C158,[2]DATOS!$B$6:$D$1004,3,FALSE)</f>
        <v>CMPC-A-EMP-CMPC-DC-STACK3850-CDLV-10000304622</v>
      </c>
      <c r="E158" s="35" t="str">
        <f>VLOOKUP(C158,[2]DATOS!$B$6:$E$1004,4,FALSE)</f>
        <v>172.31.163.5</v>
      </c>
      <c r="F158" s="35" t="str">
        <f>VLOOKUP(C158,[2]DATOS!$B$6:$P$1002,15,FALSE)</f>
        <v>EMPRESAS CMPC</v>
      </c>
      <c r="G158" s="35" t="s">
        <v>759</v>
      </c>
      <c r="H158" s="37" t="s">
        <v>1007</v>
      </c>
      <c r="I158" s="38" t="s">
        <v>975</v>
      </c>
      <c r="J158" s="38" t="s">
        <v>835</v>
      </c>
      <c r="K158" s="46">
        <v>45917.448738425926</v>
      </c>
      <c r="L158" s="39">
        <f t="shared" si="5"/>
        <v>0.21575231481256196</v>
      </c>
    </row>
    <row r="159" spans="1:12" s="37" customFormat="1" x14ac:dyDescent="0.25">
      <c r="A159" s="34">
        <v>45917.495219907411</v>
      </c>
      <c r="B159" s="37" t="s">
        <v>1008</v>
      </c>
      <c r="C159" s="36">
        <v>7874420003</v>
      </c>
      <c r="D159" s="35" t="e">
        <f>VLOOKUP(C159,[2]DATOS!$B$6:$D$1004,3,FALSE)</f>
        <v>#N/A</v>
      </c>
      <c r="E159" s="35" t="e">
        <f>VLOOKUP(C159,[2]DATOS!$B$6:$E$1004,4,FALSE)</f>
        <v>#N/A</v>
      </c>
      <c r="F159" s="35" t="e">
        <f>VLOOKUP(C159,[2]DATOS!$B$6:$P$1002,15,FALSE)</f>
        <v>#N/A</v>
      </c>
      <c r="G159" s="35" t="s">
        <v>759</v>
      </c>
      <c r="H159" s="37" t="s">
        <v>1007</v>
      </c>
      <c r="I159" s="38" t="s">
        <v>975</v>
      </c>
      <c r="J159" s="38" t="s">
        <v>835</v>
      </c>
      <c r="K159" s="46">
        <v>45917.683217592596</v>
      </c>
      <c r="L159" s="39">
        <f t="shared" si="5"/>
        <v>0.18799768518510973</v>
      </c>
    </row>
    <row r="160" spans="1:12" s="37" customFormat="1" x14ac:dyDescent="0.25">
      <c r="A160" s="34">
        <v>45919.779988425929</v>
      </c>
      <c r="B160" s="37" t="s">
        <v>1009</v>
      </c>
      <c r="C160" s="36">
        <v>10000058625</v>
      </c>
      <c r="D160" s="35" t="str">
        <f>VLOOKUP(C160,[2]DATOS!$B$6:$D$1004,3,FALSE)</f>
        <v>CMPC-C-CEL-LAJA-RESP-10000058625</v>
      </c>
      <c r="E160" s="35" t="str">
        <f>VLOOKUP(C160,[2]DATOS!$B$6:$E$1004,4,FALSE)</f>
        <v>10.221.19.106</v>
      </c>
      <c r="F160" s="35" t="str">
        <f>VLOOKUP(C160,[2]DATOS!$B$6:$P$1002,15,FALSE)</f>
        <v>CELULOSA</v>
      </c>
      <c r="G160" s="35" t="s">
        <v>759</v>
      </c>
      <c r="H160" s="37" t="s">
        <v>1017</v>
      </c>
      <c r="I160" s="38" t="s">
        <v>873</v>
      </c>
      <c r="J160" s="38" t="s">
        <v>14</v>
      </c>
      <c r="K160" s="46">
        <v>45919.813206018516</v>
      </c>
      <c r="L160" s="39">
        <f t="shared" si="5"/>
        <v>3.3217592586879618E-2</v>
      </c>
    </row>
    <row r="161" spans="1:12" s="37" customFormat="1" x14ac:dyDescent="0.25">
      <c r="A161" s="34">
        <v>45919.939097222225</v>
      </c>
      <c r="B161" s="37" t="s">
        <v>1010</v>
      </c>
      <c r="C161" s="36">
        <v>10000389594</v>
      </c>
      <c r="D161" s="35" t="str">
        <f>VLOOKUP(C161,[2]DATOS!$B$6:$D$1004,3,FALSE)</f>
        <v>CMPC-C-BIO-ENVASES-ROBLE-ALTO-TIL-TIL-CAE-CEN-10000389594</v>
      </c>
      <c r="E161" s="35" t="str">
        <f>VLOOKUP(C161,[2]DATOS!$B$6:$E$1004,4,FALSE)</f>
        <v>10.234.136.138</v>
      </c>
      <c r="F161" s="35" t="str">
        <f>VLOOKUP(C161,[2]DATOS!$B$6:$P$1002,15,FALSE)</f>
        <v>CORRUGADO</v>
      </c>
      <c r="G161" s="35" t="s">
        <v>759</v>
      </c>
      <c r="H161" s="37" t="s">
        <v>1018</v>
      </c>
      <c r="I161" s="38" t="s">
        <v>873</v>
      </c>
      <c r="J161" s="38" t="s">
        <v>14</v>
      </c>
      <c r="K161" s="46">
        <v>45922.411249999997</v>
      </c>
      <c r="L161" s="39">
        <f t="shared" si="5"/>
        <v>2.4721527777728625</v>
      </c>
    </row>
    <row r="162" spans="1:12" s="37" customFormat="1" x14ac:dyDescent="0.25">
      <c r="A162" s="34">
        <v>45922.429293981484</v>
      </c>
      <c r="B162" s="37" t="s">
        <v>1011</v>
      </c>
      <c r="C162" s="36">
        <v>4518550001</v>
      </c>
      <c r="D162" s="35" t="e">
        <f>VLOOKUP(C162,[2]DATOS!$B$6:$D$1004,3,FALSE)</f>
        <v>#N/A</v>
      </c>
      <c r="E162" s="35" t="e">
        <f>VLOOKUP(C162,[2]DATOS!$B$6:$E$1004,4,FALSE)</f>
        <v>#N/A</v>
      </c>
      <c r="F162" s="35" t="e">
        <f>VLOOKUP(C162,[2]DATOS!$B$6:$P$1002,15,FALSE)</f>
        <v>#N/A</v>
      </c>
      <c r="G162" s="35" t="s">
        <v>759</v>
      </c>
      <c r="H162" s="37" t="s">
        <v>1026</v>
      </c>
      <c r="I162" s="38" t="s">
        <v>974</v>
      </c>
      <c r="J162" s="38" t="s">
        <v>14</v>
      </c>
      <c r="K162" s="46">
        <v>45925.617847222224</v>
      </c>
      <c r="L162" s="39">
        <f t="shared" si="5"/>
        <v>3.1885532407395658</v>
      </c>
    </row>
    <row r="163" spans="1:12" s="37" customFormat="1" x14ac:dyDescent="0.25">
      <c r="A163" s="34">
        <v>45922.525416666664</v>
      </c>
      <c r="B163" s="37" t="s">
        <v>1012</v>
      </c>
      <c r="C163" s="36">
        <v>10000581462</v>
      </c>
      <c r="D163" s="35" t="str">
        <f>VLOOKUP(C163,[2]DATOS!$B$6:$D$1004,3,FALSE)</f>
        <v>CMPC-D-CEL-MADERAS-PAILLIHUE-VIVERO-CDOUGLAS-UPS-10000581462</v>
      </c>
      <c r="E163" s="35" t="str">
        <f>VLOOKUP(C163,[2]DATOS!$B$6:$E$1004,4,FALSE)</f>
        <v>10.236.111.246</v>
      </c>
      <c r="F163" s="35" t="str">
        <f>VLOOKUP(C163,[2]DATOS!$B$6:$P$1002,15,FALSE)</f>
        <v>MADERAS</v>
      </c>
      <c r="G163" s="35" t="s">
        <v>759</v>
      </c>
      <c r="H163" s="37" t="s">
        <v>1013</v>
      </c>
      <c r="I163" s="38" t="s">
        <v>993</v>
      </c>
      <c r="J163" s="38" t="s">
        <v>835</v>
      </c>
      <c r="K163" s="46">
        <v>45922.620150462964</v>
      </c>
      <c r="L163" s="39">
        <f t="shared" si="5"/>
        <v>9.4733796300715767E-2</v>
      </c>
    </row>
    <row r="164" spans="1:12" s="37" customFormat="1" x14ac:dyDescent="0.25">
      <c r="A164" s="34">
        <v>45922.544571759259</v>
      </c>
      <c r="B164" s="37" t="s">
        <v>4</v>
      </c>
      <c r="C164" s="36">
        <v>10000711182</v>
      </c>
      <c r="D164" s="35" t="str">
        <f>VLOOKUP(C164,[2]DATOS!$B$6:$D$1004,3,FALSE)</f>
        <v>CMPC-SOREPA-TALCA-10000711182</v>
      </c>
      <c r="E164" s="35" t="str">
        <f>VLOOKUP(C164,[2]DATOS!$B$6:$E$1004,4,FALSE)</f>
        <v>10.233.198.42</v>
      </c>
      <c r="F164" s="35" t="str">
        <f>VLOOKUP(C164,[2]DATOS!$B$6:$P$1002,15,FALSE)</f>
        <v>SOREPA</v>
      </c>
      <c r="G164" s="35" t="s">
        <v>759</v>
      </c>
      <c r="H164" s="37" t="s">
        <v>1002</v>
      </c>
      <c r="I164" s="38" t="s">
        <v>833</v>
      </c>
      <c r="J164" s="38" t="s">
        <v>835</v>
      </c>
      <c r="K164" s="46">
        <v>45922.561122685183</v>
      </c>
      <c r="L164" s="39">
        <f t="shared" si="5"/>
        <v>1.6550925924093463E-2</v>
      </c>
    </row>
    <row r="165" spans="1:12" s="37" customFormat="1" x14ac:dyDescent="0.25">
      <c r="A165" s="34">
        <v>45922.596562500003</v>
      </c>
      <c r="B165" s="37" t="s">
        <v>1014</v>
      </c>
      <c r="C165" s="36">
        <v>6999020001</v>
      </c>
      <c r="D165" s="35" t="str">
        <f>VLOOKUP(C165,[2]DATOS!$B$6:$D$1004,3,FALSE)</f>
        <v>CMPC-D-BIO-EDIPAC-CONCEPCION-PRIN-6999020001-RESP-GTD</v>
      </c>
      <c r="E165" s="35" t="str">
        <f>VLOOKUP(C165,[2]DATOS!$B$6:$E$1004,4,FALSE)</f>
        <v>10.220.168.70</v>
      </c>
      <c r="F165" s="35" t="str">
        <f>VLOOKUP(C165,[2]DATOS!$B$6:$P$1002,15,FALSE)</f>
        <v>EDIPAC</v>
      </c>
      <c r="G165" s="35" t="s">
        <v>759</v>
      </c>
      <c r="H165" s="37" t="s">
        <v>1015</v>
      </c>
      <c r="I165" s="38" t="s">
        <v>974</v>
      </c>
      <c r="J165" s="38" t="s">
        <v>14</v>
      </c>
      <c r="K165" s="46">
        <v>45922.659733796296</v>
      </c>
      <c r="L165" s="39">
        <f t="shared" si="5"/>
        <v>6.3171296293148771E-2</v>
      </c>
    </row>
    <row r="166" spans="1:12" s="37" customFormat="1" x14ac:dyDescent="0.25">
      <c r="A166" s="34">
        <v>45923.600034722222</v>
      </c>
      <c r="B166" s="37" t="s">
        <v>4</v>
      </c>
      <c r="C166" s="36">
        <v>10000711182</v>
      </c>
      <c r="D166" s="35" t="str">
        <f>VLOOKUP(C166,[2]DATOS!$B$6:$D$1004,3,FALSE)</f>
        <v>CMPC-SOREPA-TALCA-10000711182</v>
      </c>
      <c r="E166" s="35" t="str">
        <f>VLOOKUP(C166,[2]DATOS!$B$6:$E$1004,4,FALSE)</f>
        <v>10.233.198.42</v>
      </c>
      <c r="F166" s="35" t="str">
        <f>VLOOKUP(C166,[2]DATOS!$B$6:$P$1002,15,FALSE)</f>
        <v>SOREPA</v>
      </c>
      <c r="G166" s="35" t="s">
        <v>759</v>
      </c>
      <c r="H166" s="37" t="s">
        <v>1002</v>
      </c>
      <c r="I166" s="38" t="s">
        <v>833</v>
      </c>
      <c r="J166" s="38" t="s">
        <v>835</v>
      </c>
      <c r="K166" s="46">
        <v>45923.630555555559</v>
      </c>
      <c r="L166" s="39">
        <f t="shared" si="5"/>
        <v>3.0520833337504882E-2</v>
      </c>
    </row>
    <row r="167" spans="1:12" s="37" customFormat="1" x14ac:dyDescent="0.25">
      <c r="A167" s="34">
        <v>45924.021215277775</v>
      </c>
      <c r="B167" s="37" t="s">
        <v>1019</v>
      </c>
      <c r="C167" s="36">
        <v>6963530001</v>
      </c>
      <c r="D167" s="35" t="str">
        <f>VLOOKUP(C167,[2]DATOS!$B$6:$D$1004,3,FALSE)</f>
        <v>CMPC-D-CEL-FORMIN-ANGOL-UNIC-6963530001</v>
      </c>
      <c r="E167" s="35" t="str">
        <f>VLOOKUP(C167,[2]DATOS!$B$6:$E$1004,4,FALSE)</f>
        <v>10.220.168.246</v>
      </c>
      <c r="F167" s="35" t="str">
        <f>VLOOKUP(C167,[2]DATOS!$B$6:$P$1002,15,FALSE)</f>
        <v>FORESTAL</v>
      </c>
      <c r="G167" s="35" t="s">
        <v>759</v>
      </c>
      <c r="H167" s="37" t="s">
        <v>1021</v>
      </c>
      <c r="I167" s="38" t="s">
        <v>974</v>
      </c>
      <c r="J167" s="38" t="s">
        <v>14</v>
      </c>
      <c r="K167" s="46">
        <v>45924.093055555553</v>
      </c>
      <c r="L167" s="39">
        <f t="shared" si="5"/>
        <v>7.1840277778392192E-2</v>
      </c>
    </row>
    <row r="168" spans="1:12" s="37" customFormat="1" x14ac:dyDescent="0.25">
      <c r="A168" s="34">
        <v>45924.401817129627</v>
      </c>
      <c r="B168" s="37" t="s">
        <v>1020</v>
      </c>
      <c r="C168" s="36">
        <v>7096130001</v>
      </c>
      <c r="D168" s="35" t="str">
        <f>VLOOKUP(C168,[2]DATOS!$B$6:$D$1004,3,FALSE)</f>
        <v>CMPC-C-CEL-LAJA-TELEFONIA-7096130001</v>
      </c>
      <c r="E168" s="35" t="str">
        <f>VLOOKUP(C168,[2]DATOS!$B$6:$E$1004,4,FALSE)</f>
        <v>10.96.2.212</v>
      </c>
      <c r="F168" s="35" t="str">
        <f>VLOOKUP(C168,[2]DATOS!$B$6:$P$1002,15,FALSE)</f>
        <v>CELULOSA</v>
      </c>
      <c r="G168" s="35" t="s">
        <v>759</v>
      </c>
      <c r="H168" s="37" t="s">
        <v>1022</v>
      </c>
      <c r="I168" s="38" t="s">
        <v>975</v>
      </c>
      <c r="J168" s="38" t="s">
        <v>835</v>
      </c>
      <c r="K168" s="46">
        <v>45924.628912037035</v>
      </c>
      <c r="L168" s="39">
        <f t="shared" si="5"/>
        <v>0.22709490740817273</v>
      </c>
    </row>
    <row r="169" spans="1:12" s="37" customFormat="1" x14ac:dyDescent="0.25">
      <c r="A169" s="34">
        <v>45925.450798611113</v>
      </c>
      <c r="B169" s="37" t="s">
        <v>1024</v>
      </c>
      <c r="C169" s="36">
        <v>6998930001</v>
      </c>
      <c r="D169" s="35" t="str">
        <f>VLOOKUP(C169,[2]DATOS!$B$6:$D$1004,3,FALSE)</f>
        <v>CMPC-D-CEL-CHARRUA-UNIC-6998930001</v>
      </c>
      <c r="E169" s="35" t="str">
        <f>VLOOKUP(C169,[2]DATOS!$B$6:$E$1004,4,FALSE)</f>
        <v>10.221.19.142</v>
      </c>
      <c r="F169" s="35" t="str">
        <f>VLOOKUP(C169,[2]DATOS!$B$6:$P$1002,15,FALSE)</f>
        <v>CELULOSA</v>
      </c>
      <c r="G169" s="35" t="s">
        <v>759</v>
      </c>
      <c r="H169" s="37" t="s">
        <v>1025</v>
      </c>
      <c r="I169" s="38" t="s">
        <v>834</v>
      </c>
      <c r="J169" s="38" t="s">
        <v>14</v>
      </c>
      <c r="K169" s="46">
        <v>45925.7893287037</v>
      </c>
      <c r="L169" s="39">
        <f t="shared" si="5"/>
        <v>0.3385300925874617</v>
      </c>
    </row>
    <row r="170" spans="1:12" s="37" customFormat="1" x14ac:dyDescent="0.25">
      <c r="A170" s="34">
        <v>45925.455983796295</v>
      </c>
      <c r="B170" s="37" t="s">
        <v>1023</v>
      </c>
      <c r="C170" s="36">
        <v>10000691052</v>
      </c>
      <c r="D170" s="35" t="str">
        <f>VLOOKUP(C170,[2]DATOS!$B$6:$D$1004,3,FALSE)</f>
        <v>CMPC-E-CABRERO-UNIC-10000691052</v>
      </c>
      <c r="E170" s="35" t="str">
        <f>VLOOKUP(C170,[2]DATOS!$B$6:$E$1004,4,FALSE)</f>
        <v>10.232.242.96</v>
      </c>
      <c r="F170" s="35">
        <f>VLOOKUP(C170,[2]DATOS!$B$6:$P$1002,15,FALSE)</f>
        <v>0</v>
      </c>
      <c r="G170" s="35" t="s">
        <v>759</v>
      </c>
      <c r="H170" s="37" t="s">
        <v>1025</v>
      </c>
      <c r="I170" s="38" t="s">
        <v>834</v>
      </c>
      <c r="J170" s="38" t="s">
        <v>14</v>
      </c>
      <c r="K170" s="46">
        <v>45925.728912037041</v>
      </c>
      <c r="L170" s="39">
        <f t="shared" si="5"/>
        <v>0.27292824074538657</v>
      </c>
    </row>
    <row r="171" spans="1:12" s="37" customFormat="1" x14ac:dyDescent="0.25">
      <c r="A171" s="34">
        <v>45929.395543981482</v>
      </c>
      <c r="B171" s="37" t="s">
        <v>1028</v>
      </c>
      <c r="C171" s="36">
        <v>10000569561</v>
      </c>
      <c r="D171" s="35" t="str">
        <f>VLOOKUP(C171,[2]DATOS!$B$6:$D$1004,3,FALSE)</f>
        <v>CMPC-C-BIO-CHIMOLSA-PTE-ALTO-UPS-10000569561</v>
      </c>
      <c r="E171" s="35" t="str">
        <f>VLOOKUP(C171,[2]DATOS!$B$6:$E$1004,4,FALSE)</f>
        <v>10.223.1.30</v>
      </c>
      <c r="F171" s="35" t="str">
        <f>VLOOKUP(C171,[2]DATOS!$B$6:$P$1002,15,FALSE)</f>
        <v>CORRUGADO</v>
      </c>
      <c r="G171" s="35" t="s">
        <v>759</v>
      </c>
      <c r="H171" s="37" t="s">
        <v>1029</v>
      </c>
      <c r="I171" s="38" t="s">
        <v>974</v>
      </c>
      <c r="J171" s="38" t="s">
        <v>14</v>
      </c>
      <c r="K171" s="46">
        <v>45929.590254629627</v>
      </c>
      <c r="L171" s="39">
        <f t="shared" si="5"/>
        <v>0.19471064814570127</v>
      </c>
    </row>
    <row r="172" spans="1:12" s="37" customFormat="1" x14ac:dyDescent="0.25">
      <c r="A172" s="34">
        <v>45929.399467592593</v>
      </c>
      <c r="B172" s="37" t="s">
        <v>1027</v>
      </c>
      <c r="C172" s="36">
        <v>6999100001</v>
      </c>
      <c r="D172" s="35" t="str">
        <f>VLOOKUP(C172,[2]DATOS!$B$6:$D$1004,3,FALSE)</f>
        <v>CMPC-D-BIO-SOREPA-PUDAHUEL-PRIN-6999100001-RESP-GTD</v>
      </c>
      <c r="E172" s="35" t="str">
        <f>VLOOKUP(C172,[2]DATOS!$B$6:$E$1004,4,FALSE)</f>
        <v>10.228.65.34</v>
      </c>
      <c r="F172" s="35" t="str">
        <f>VLOOKUP(C172,[2]DATOS!$B$6:$P$1002,15,FALSE)</f>
        <v>CORRUGADO</v>
      </c>
      <c r="G172" s="35" t="s">
        <v>759</v>
      </c>
      <c r="H172" s="37" t="s">
        <v>1030</v>
      </c>
      <c r="I172" s="38" t="s">
        <v>834</v>
      </c>
      <c r="J172" s="38" t="s">
        <v>14</v>
      </c>
      <c r="K172" s="46">
        <v>45929.659467592595</v>
      </c>
      <c r="L172" s="39">
        <f t="shared" si="5"/>
        <v>0.26000000000203727</v>
      </c>
    </row>
    <row r="173" spans="1:12" s="37" customFormat="1" x14ac:dyDescent="0.25">
      <c r="A173" s="34">
        <v>45929.66196759259</v>
      </c>
      <c r="B173" s="37" t="s">
        <v>4</v>
      </c>
      <c r="C173" s="36">
        <v>10000514345</v>
      </c>
      <c r="D173" s="35" t="str">
        <f>VLOOKUP(C173,[2]DATOS!$B$6:$D$1004,3,FALSE)</f>
        <v>CMPC-D-CEL-CAPITAN-PASTENE-UNIC-10000514345</v>
      </c>
      <c r="E173" s="35" t="str">
        <f>VLOOKUP(C173,[2]DATOS!$B$6:$E$1004,4,FALSE)</f>
        <v>10.236.65.210</v>
      </c>
      <c r="F173" s="35" t="str">
        <f>VLOOKUP(C173,[2]DATOS!$B$6:$P$1002,15,FALSE)</f>
        <v>FORESTAL</v>
      </c>
      <c r="G173" s="35" t="s">
        <v>759</v>
      </c>
      <c r="H173" s="37" t="s">
        <v>1031</v>
      </c>
      <c r="I173" s="38" t="s">
        <v>993</v>
      </c>
      <c r="J173" s="38" t="s">
        <v>835</v>
      </c>
      <c r="K173" s="46">
        <v>45929.691412037035</v>
      </c>
      <c r="L173" s="39">
        <f t="shared" si="5"/>
        <v>2.9444444444379769E-2</v>
      </c>
    </row>
    <row r="174" spans="1:12" s="37" customFormat="1" x14ac:dyDescent="0.25">
      <c r="A174" s="34">
        <v>45929.669606481482</v>
      </c>
      <c r="B174" s="37" t="s">
        <v>4</v>
      </c>
      <c r="C174" s="36">
        <v>10000711182</v>
      </c>
      <c r="D174" s="35" t="str">
        <f>VLOOKUP(C174,[2]DATOS!$B$6:$D$1004,3,FALSE)</f>
        <v>CMPC-SOREPA-TALCA-10000711182</v>
      </c>
      <c r="E174" s="35" t="str">
        <f>VLOOKUP(C174,[2]DATOS!$B$6:$E$1004,4,FALSE)</f>
        <v>10.233.198.42</v>
      </c>
      <c r="F174" s="35" t="str">
        <f>VLOOKUP(C174,[2]DATOS!$B$6:$P$1002,15,FALSE)</f>
        <v>SOREPA</v>
      </c>
      <c r="G174" s="35" t="s">
        <v>759</v>
      </c>
      <c r="H174" s="37" t="s">
        <v>1002</v>
      </c>
      <c r="I174" s="38" t="s">
        <v>833</v>
      </c>
      <c r="J174" s="38" t="s">
        <v>835</v>
      </c>
      <c r="K174" s="46">
        <v>45929.676134259258</v>
      </c>
      <c r="L174" s="39">
        <f t="shared" si="5"/>
        <v>6.5277777757728472E-3</v>
      </c>
    </row>
    <row r="175" spans="1:12" s="37" customFormat="1" x14ac:dyDescent="0.25">
      <c r="A175" s="34">
        <v>45929.698310185187</v>
      </c>
      <c r="B175" s="37" t="s">
        <v>1032</v>
      </c>
      <c r="C175" s="36">
        <v>10000569561</v>
      </c>
      <c r="D175" s="35" t="str">
        <f>VLOOKUP(C175,[2]DATOS!$B$6:$D$1004,3,FALSE)</f>
        <v>CMPC-C-BIO-CHIMOLSA-PTE-ALTO-UPS-10000569561</v>
      </c>
      <c r="E175" s="35" t="str">
        <f>VLOOKUP(C175,[2]DATOS!$B$6:$E$1004,4,FALSE)</f>
        <v>10.223.1.30</v>
      </c>
      <c r="F175" s="35" t="str">
        <f>VLOOKUP(C175,[2]DATOS!$B$6:$P$1002,15,FALSE)</f>
        <v>CORRUGADO</v>
      </c>
      <c r="G175" s="35" t="s">
        <v>759</v>
      </c>
      <c r="H175" s="37" t="s">
        <v>1029</v>
      </c>
      <c r="I175" s="38" t="s">
        <v>974</v>
      </c>
      <c r="J175" s="38" t="s">
        <v>14</v>
      </c>
      <c r="K175" s="46">
        <v>45930.433078703703</v>
      </c>
      <c r="L175" s="39">
        <f t="shared" si="5"/>
        <v>0.73476851851592073</v>
      </c>
    </row>
    <row r="176" spans="1:12" s="37" customFormat="1" x14ac:dyDescent="0.25">
      <c r="A176" s="34">
        <v>45930.360578703701</v>
      </c>
      <c r="B176" s="37" t="s">
        <v>4</v>
      </c>
      <c r="C176" s="36">
        <v>10000711182</v>
      </c>
      <c r="D176" s="35" t="str">
        <f>VLOOKUP(C176,[2]DATOS!$B$6:$D$1004,3,FALSE)</f>
        <v>CMPC-SOREPA-TALCA-10000711182</v>
      </c>
      <c r="E176" s="35" t="str">
        <f>VLOOKUP(C176,[2]DATOS!$B$6:$E$1004,4,FALSE)</f>
        <v>10.233.198.42</v>
      </c>
      <c r="F176" s="35" t="str">
        <f>VLOOKUP(C176,[2]DATOS!$B$6:$P$1002,15,FALSE)</f>
        <v>SOREPA</v>
      </c>
      <c r="G176" s="35" t="s">
        <v>759</v>
      </c>
      <c r="H176" s="37" t="s">
        <v>1002</v>
      </c>
      <c r="I176" s="38" t="s">
        <v>833</v>
      </c>
      <c r="J176" s="38" t="s">
        <v>835</v>
      </c>
      <c r="K176" s="46">
        <v>45930.420578703706</v>
      </c>
      <c r="L176" s="39">
        <f t="shared" si="5"/>
        <v>6.0000000004947651E-2</v>
      </c>
    </row>
    <row r="177" spans="1:12" s="37" customFormat="1" x14ac:dyDescent="0.25">
      <c r="A177" s="34">
        <v>45930.742523148147</v>
      </c>
      <c r="B177" s="37" t="s">
        <v>4</v>
      </c>
      <c r="C177" s="36">
        <v>10000711182</v>
      </c>
      <c r="D177" s="35" t="str">
        <f>VLOOKUP(C177,[2]DATOS!$B$6:$D$1004,3,FALSE)</f>
        <v>CMPC-SOREPA-TALCA-10000711182</v>
      </c>
      <c r="E177" s="35" t="str">
        <f>VLOOKUP(C177,[2]DATOS!$B$6:$E$1004,4,FALSE)</f>
        <v>10.233.198.42</v>
      </c>
      <c r="F177" s="35" t="str">
        <f>VLOOKUP(C177,[2]DATOS!$B$6:$P$1002,15,FALSE)</f>
        <v>SOREPA</v>
      </c>
      <c r="G177" s="35" t="s">
        <v>759</v>
      </c>
      <c r="H177" s="37" t="s">
        <v>1002</v>
      </c>
      <c r="I177" s="38" t="s">
        <v>833</v>
      </c>
      <c r="J177" s="38" t="s">
        <v>835</v>
      </c>
      <c r="K177" s="46">
        <v>45931.328634259262</v>
      </c>
      <c r="L177" s="39">
        <f t="shared" si="5"/>
        <v>0.586111111115315</v>
      </c>
    </row>
    <row r="178" spans="1:12" s="37" customFormat="1" x14ac:dyDescent="0.25">
      <c r="A178" s="34">
        <v>45931.269606481481</v>
      </c>
      <c r="B178" s="37" t="s">
        <v>1034</v>
      </c>
      <c r="C178" s="36">
        <v>10000581382</v>
      </c>
      <c r="D178" s="35" t="str">
        <f>VLOOKUP(C178,[2]DATOS!$B$6:$D$1004,3,FALSE)</f>
        <v>CMPC-D-BIO-SOREPA-ANTOFAGASTA-UPS-10000581382</v>
      </c>
      <c r="E178" s="35" t="str">
        <f>VLOOKUP(C178,[2]DATOS!$B$6:$E$1004,4,FALSE)</f>
        <v>10.236.111.182</v>
      </c>
      <c r="F178" s="35" t="str">
        <f>VLOOKUP(C178,[2]DATOS!$B$6:$P$1002,15,FALSE)</f>
        <v>CORRUGADO</v>
      </c>
      <c r="G178" s="35" t="s">
        <v>759</v>
      </c>
      <c r="H178" s="37" t="s">
        <v>1035</v>
      </c>
      <c r="I178" s="38" t="s">
        <v>974</v>
      </c>
      <c r="J178" s="38" t="s">
        <v>14</v>
      </c>
      <c r="K178" s="46">
        <v>45940.609722222223</v>
      </c>
      <c r="L178" s="39">
        <f t="shared" si="5"/>
        <v>9.3401157407424762</v>
      </c>
    </row>
    <row r="179" spans="1:12" s="37" customFormat="1" x14ac:dyDescent="0.25">
      <c r="A179" s="34">
        <v>45931.492523148147</v>
      </c>
      <c r="B179" s="37" t="s">
        <v>4</v>
      </c>
      <c r="C179" s="36">
        <v>10000000427</v>
      </c>
      <c r="D179" s="35" t="str">
        <f>VLOOKUP(C179,[2]DATOS!$B$6:$D$1004,3,FALSE)</f>
        <v>CMPC-D-CEL-FORESTAL-COYHAIQUE-UNIC-10000000427</v>
      </c>
      <c r="E179" s="35" t="str">
        <f>VLOOKUP(C179,[2]DATOS!$B$6:$E$1004,4,FALSE)</f>
        <v>10.253.94.50</v>
      </c>
      <c r="F179" s="35" t="str">
        <f>VLOOKUP(C179,[2]DATOS!$B$6:$P$1002,15,FALSE)</f>
        <v>MADERAS</v>
      </c>
      <c r="G179" s="35" t="s">
        <v>759</v>
      </c>
      <c r="H179" s="37" t="s">
        <v>1033</v>
      </c>
      <c r="I179" s="38" t="s">
        <v>993</v>
      </c>
      <c r="J179" s="38" t="s">
        <v>835</v>
      </c>
      <c r="K179" s="46">
        <v>45931.500856481478</v>
      </c>
      <c r="L179" s="39">
        <f t="shared" si="5"/>
        <v>8.333333331393078E-3</v>
      </c>
    </row>
    <row r="180" spans="1:12" s="37" customFormat="1" x14ac:dyDescent="0.25">
      <c r="A180" s="34">
        <v>45937.267523148148</v>
      </c>
      <c r="B180" s="37" t="s">
        <v>4</v>
      </c>
      <c r="C180" s="36">
        <v>6999070001</v>
      </c>
      <c r="D180" s="35" t="str">
        <f>VLOOKUP(C180,[2]DATOS!$B$6:$D$1004,3,FALSE)</f>
        <v>CMPC-D-BIO-SOREPA-ANTOFAGASTA-PRIN-6999070001-RESP-GTD</v>
      </c>
      <c r="E180" s="35" t="str">
        <f>VLOOKUP(C180,[2]DATOS!$B$6:$E$1004,4,FALSE)</f>
        <v>10.220.168.102</v>
      </c>
      <c r="F180" s="35" t="str">
        <f>VLOOKUP(C180,[2]DATOS!$B$6:$P$1002,15,FALSE)</f>
        <v>CORRUGADO</v>
      </c>
      <c r="G180" s="35" t="s">
        <v>759</v>
      </c>
      <c r="H180" s="37" t="s">
        <v>1036</v>
      </c>
      <c r="I180" s="38" t="s">
        <v>833</v>
      </c>
      <c r="J180" s="38" t="s">
        <v>835</v>
      </c>
      <c r="K180" s="46">
        <v>45940.500856481478</v>
      </c>
      <c r="L180" s="39">
        <f t="shared" si="5"/>
        <v>3.2333333333299379</v>
      </c>
    </row>
    <row r="181" spans="1:12" s="37" customFormat="1" x14ac:dyDescent="0.25">
      <c r="A181" s="34">
        <v>45937.442523148151</v>
      </c>
      <c r="B181" s="37" t="s">
        <v>4</v>
      </c>
      <c r="C181" s="36">
        <v>10000514345</v>
      </c>
      <c r="D181" s="35" t="str">
        <f>VLOOKUP(C181,[2]DATOS!$B$6:$D$1004,3,FALSE)</f>
        <v>CMPC-D-CEL-CAPITAN-PASTENE-UNIC-10000514345</v>
      </c>
      <c r="E181" s="35" t="str">
        <f>VLOOKUP(C181,[2]DATOS!$B$6:$E$1004,4,FALSE)</f>
        <v>10.236.65.210</v>
      </c>
      <c r="F181" s="35" t="str">
        <f>VLOOKUP(C181,[2]DATOS!$B$6:$P$1002,15,FALSE)</f>
        <v>FORESTAL</v>
      </c>
      <c r="G181" s="35" t="s">
        <v>759</v>
      </c>
      <c r="H181" s="37" t="s">
        <v>1036</v>
      </c>
      <c r="I181" s="38" t="s">
        <v>833</v>
      </c>
      <c r="J181" s="38" t="s">
        <v>835</v>
      </c>
      <c r="K181" s="46">
        <v>45939.658333333333</v>
      </c>
      <c r="L181" s="39">
        <f t="shared" si="5"/>
        <v>2.2158101851819083</v>
      </c>
    </row>
    <row r="182" spans="1:12" s="37" customFormat="1" x14ac:dyDescent="0.25">
      <c r="A182" s="34">
        <v>45937.79619212963</v>
      </c>
      <c r="B182" s="37" t="s">
        <v>1037</v>
      </c>
      <c r="C182" s="36">
        <v>7853300001</v>
      </c>
      <c r="D182" s="35" t="str">
        <f>VLOOKUP(C182,[2]DATOS!$B$6:$D$1004,3,FALSE)</f>
        <v>CMPC-C-CEL-MADERAS-PLYWOOD-PRIN-7853300001-RESP-GTD</v>
      </c>
      <c r="E182" s="35" t="str">
        <f>VLOOKUP(C182,[2]DATOS!$B$6:$E$1004,4,FALSE)</f>
        <v>10.236.63.226</v>
      </c>
      <c r="F182" s="35" t="str">
        <f>VLOOKUP(C182,[2]DATOS!$B$6:$P$1002,15,FALSE)</f>
        <v>MADERAS</v>
      </c>
      <c r="G182" s="35" t="s">
        <v>759</v>
      </c>
      <c r="H182" s="37" t="s">
        <v>1038</v>
      </c>
      <c r="I182" s="38" t="s">
        <v>974</v>
      </c>
      <c r="J182" s="38" t="s">
        <v>14</v>
      </c>
      <c r="K182" s="46">
        <v>45939.543912037036</v>
      </c>
      <c r="L182" s="39">
        <f t="shared" si="5"/>
        <v>1.7477199074055534</v>
      </c>
    </row>
    <row r="183" spans="1:12" s="37" customFormat="1" x14ac:dyDescent="0.25">
      <c r="A183" s="34">
        <v>45939.498611111114</v>
      </c>
      <c r="B183" s="37" t="s">
        <v>1039</v>
      </c>
      <c r="C183" s="36">
        <v>10000000822</v>
      </c>
      <c r="D183" s="35" t="str">
        <f>VLOOKUP(C183,[2]DATOS!$B$6:$D$1004,3,FALSE)</f>
        <v>CMPC-C-CEL-MADERAS-PLANTA-CLEAR-PRIN-10000000822-RESP-GTD</v>
      </c>
      <c r="E183" s="35" t="str">
        <f>VLOOKUP(C183,[2]DATOS!$B$6:$E$1004,4,FALSE)</f>
        <v>10.228.65.66</v>
      </c>
      <c r="F183" s="35" t="str">
        <f>VLOOKUP(C183,[2]DATOS!$B$6:$P$1002,15,FALSE)</f>
        <v>MADERAS</v>
      </c>
      <c r="G183" s="35" t="s">
        <v>759</v>
      </c>
      <c r="H183" s="37" t="s">
        <v>1041</v>
      </c>
      <c r="I183" s="38" t="s">
        <v>834</v>
      </c>
      <c r="J183" s="38" t="s">
        <v>14</v>
      </c>
      <c r="K183" s="46">
        <v>45939.848611111112</v>
      </c>
      <c r="L183" s="39">
        <f t="shared" si="5"/>
        <v>0.34999999999854481</v>
      </c>
    </row>
    <row r="184" spans="1:12" s="37" customFormat="1" x14ac:dyDescent="0.25">
      <c r="A184" s="34">
        <v>45939.500694444447</v>
      </c>
      <c r="B184" s="37" t="s">
        <v>1040</v>
      </c>
      <c r="C184" s="36">
        <v>10000000824</v>
      </c>
      <c r="D184" s="35" t="str">
        <f>VLOOKUP(C184,[2]DATOS!$B$6:$D$1004,3,FALSE)</f>
        <v>CMPC-D-CEL-MADERAS-BUCALEMU-PRIN-10000000824-RESP-GTD</v>
      </c>
      <c r="E184" s="35" t="str">
        <f>VLOOKUP(C184,[2]DATOS!$B$6:$E$1004,4,FALSE)</f>
        <v>10.228.65.30</v>
      </c>
      <c r="F184" s="35" t="str">
        <f>VLOOKUP(C184,[2]DATOS!$B$6:$P$1002,15,FALSE)</f>
        <v>MADERAS</v>
      </c>
      <c r="G184" s="35" t="s">
        <v>759</v>
      </c>
      <c r="H184" s="37" t="s">
        <v>1042</v>
      </c>
      <c r="I184" s="38" t="s">
        <v>834</v>
      </c>
      <c r="J184" s="38" t="s">
        <v>14</v>
      </c>
      <c r="K184" s="46">
        <v>45939.848611111112</v>
      </c>
      <c r="L184" s="39">
        <f t="shared" si="5"/>
        <v>0.34791666666569654</v>
      </c>
    </row>
    <row r="185" spans="1:12" s="37" customFormat="1" x14ac:dyDescent="0.25">
      <c r="A185" s="34">
        <v>45939.537303240744</v>
      </c>
      <c r="B185" s="37" t="s">
        <v>1048</v>
      </c>
      <c r="C185" s="37">
        <v>10000002550</v>
      </c>
      <c r="D185" s="35" t="str">
        <f>VLOOKUP(C185,[2]DATOS!$B$6:$D$1004,3,FALSE)</f>
        <v>CMPC-D-CEL-MADERAS-PAILLIHUE-VIVERO-CDOUGLAS-UNIC-10000002550</v>
      </c>
      <c r="E185" s="35" t="str">
        <f>VLOOKUP(C185,[2]DATOS!$B$6:$E$1004,4,FALSE)</f>
        <v>10.228.65.90</v>
      </c>
      <c r="F185" s="35" t="str">
        <f>VLOOKUP(C185,[2]DATOS!$B$6:$P$1002,15,FALSE)</f>
        <v>MADERAS</v>
      </c>
      <c r="G185" s="35" t="s">
        <v>759</v>
      </c>
      <c r="H185" s="37" t="s">
        <v>1046</v>
      </c>
      <c r="I185" s="38" t="s">
        <v>834</v>
      </c>
      <c r="J185" s="38" t="s">
        <v>14</v>
      </c>
      <c r="K185" s="46">
        <v>45939.848611111112</v>
      </c>
      <c r="L185" s="39">
        <f t="shared" si="5"/>
        <v>0.31130787036818219</v>
      </c>
    </row>
    <row r="186" spans="1:12" s="37" customFormat="1" x14ac:dyDescent="0.25">
      <c r="A186" s="34">
        <v>45939.540370370371</v>
      </c>
      <c r="B186" s="37" t="s">
        <v>1047</v>
      </c>
      <c r="C186" s="37">
        <v>10000022240</v>
      </c>
      <c r="D186" s="35" t="str">
        <f>VLOOKUP(C186,[2]DATOS!$B$6:$D$1004,3,FALSE)</f>
        <v>CMPC-C-CEL-PACIFICO-RESP-10000022240</v>
      </c>
      <c r="E186" s="35" t="str">
        <f>VLOOKUP(C186,[2]DATOS!$B$6:$E$1004,4,FALSE)</f>
        <v>10.221.19.66</v>
      </c>
      <c r="F186" s="35" t="str">
        <f>VLOOKUP(C186,[2]DATOS!$B$6:$P$1002,15,FALSE)</f>
        <v>PULP</v>
      </c>
      <c r="G186" s="35" t="s">
        <v>759</v>
      </c>
      <c r="H186" s="37" t="s">
        <v>1045</v>
      </c>
      <c r="I186" s="38" t="s">
        <v>834</v>
      </c>
      <c r="J186" s="38" t="s">
        <v>14</v>
      </c>
      <c r="K186" s="46">
        <v>45939.848611111112</v>
      </c>
      <c r="L186" s="39">
        <f t="shared" si="5"/>
        <v>0.30824074074189411</v>
      </c>
    </row>
    <row r="187" spans="1:12" s="37" customFormat="1" x14ac:dyDescent="0.25">
      <c r="A187" s="34">
        <v>45939.543425925927</v>
      </c>
      <c r="B187" s="37" t="s">
        <v>1049</v>
      </c>
      <c r="C187" s="37">
        <v>10000396994</v>
      </c>
      <c r="D187" s="35" t="str">
        <f>VLOOKUP(C187,[2]DATOS!$B$6:$D$1004,3,FALSE)</f>
        <v>CMPC-B-CEL-MADERAS-LOS-ANGELES-ED-CORP-PRIN-10000396994-RESP-GTD</v>
      </c>
      <c r="E187" s="35" t="str">
        <f>VLOOKUP(C187,[2]DATOS!$B$6:$E$1004,4,FALSE)</f>
        <v>10.234.139.30</v>
      </c>
      <c r="F187" s="35" t="str">
        <f>VLOOKUP(C187,[2]DATOS!$B$6:$P$1002,15,FALSE)</f>
        <v>FORESTAL</v>
      </c>
      <c r="G187" s="35" t="s">
        <v>759</v>
      </c>
      <c r="H187" s="37" t="s">
        <v>1044</v>
      </c>
      <c r="I187" s="38" t="s">
        <v>834</v>
      </c>
      <c r="J187" s="38" t="s">
        <v>14</v>
      </c>
      <c r="K187" s="46">
        <v>45939.848611111112</v>
      </c>
      <c r="L187" s="39">
        <f t="shared" ref="L187:L218" si="6">K187-A187</f>
        <v>0.30518518518510973</v>
      </c>
    </row>
    <row r="188" spans="1:12" s="37" customFormat="1" x14ac:dyDescent="0.25">
      <c r="A188" s="34">
        <v>45939.546168981484</v>
      </c>
      <c r="B188" s="37" t="s">
        <v>1050</v>
      </c>
      <c r="C188" s="36">
        <v>10000022234</v>
      </c>
      <c r="D188" s="35" t="str">
        <f>VLOOKUP(C188,[2]DATOS!$B$6:$D$1004,3,FALSE)</f>
        <v>CMPC-C-CEL-LAJA-PRIN-10000022234</v>
      </c>
      <c r="E188" s="35" t="str">
        <f>VLOOKUP(C188,[2]DATOS!$B$6:$E$1004,4,FALSE)</f>
        <v>10.221.19.138</v>
      </c>
      <c r="F188" s="35" t="str">
        <f>VLOOKUP(C188,[2]DATOS!$B$6:$P$1002,15,FALSE)</f>
        <v>CELULOSA</v>
      </c>
      <c r="G188" s="35" t="s">
        <v>759</v>
      </c>
      <c r="H188" s="37" t="s">
        <v>1043</v>
      </c>
      <c r="I188" s="38" t="s">
        <v>834</v>
      </c>
      <c r="J188" s="38" t="s">
        <v>14</v>
      </c>
      <c r="K188" s="46">
        <v>45939.848611111112</v>
      </c>
      <c r="L188" s="39">
        <f t="shared" si="6"/>
        <v>0.30244212962861639</v>
      </c>
    </row>
    <row r="189" spans="1:12" s="37" customFormat="1" x14ac:dyDescent="0.25">
      <c r="A189" s="34">
        <v>45939.674305555556</v>
      </c>
      <c r="B189" s="37" t="s">
        <v>4</v>
      </c>
      <c r="C189" s="36">
        <v>6999070001</v>
      </c>
      <c r="D189" s="35" t="str">
        <f>VLOOKUP(C189,[2]DATOS!$B$6:$D$1004,3,FALSE)</f>
        <v>CMPC-D-BIO-SOREPA-ANTOFAGASTA-PRIN-6999070001-RESP-GTD</v>
      </c>
      <c r="E189" s="35" t="str">
        <f>VLOOKUP(C189,[2]DATOS!$B$6:$E$1004,4,FALSE)</f>
        <v>10.220.168.102</v>
      </c>
      <c r="F189" s="35" t="str">
        <f>VLOOKUP(C189,[2]DATOS!$B$6:$P$1002,15,FALSE)</f>
        <v>CORRUGADO</v>
      </c>
      <c r="G189" s="35" t="s">
        <v>759</v>
      </c>
      <c r="H189" s="37" t="s">
        <v>1036</v>
      </c>
      <c r="I189" s="38" t="s">
        <v>833</v>
      </c>
      <c r="J189" s="38" t="s">
        <v>835</v>
      </c>
      <c r="K189" s="46">
        <v>45940.490972222222</v>
      </c>
      <c r="L189" s="39">
        <f t="shared" si="6"/>
        <v>0.81666666666569654</v>
      </c>
    </row>
    <row r="190" spans="1:12" s="37" customFormat="1" x14ac:dyDescent="0.25">
      <c r="A190" s="34">
        <v>45940.595590277779</v>
      </c>
      <c r="B190" s="37" t="s">
        <v>1060</v>
      </c>
      <c r="C190" s="36">
        <v>7096170001</v>
      </c>
      <c r="D190" s="35" t="str">
        <f>VLOOKUP(C190,[2]DATOS!$B$6:$D$1004,3,FALSE)</f>
        <v>CMPC-C-CEL-PACIFICO-TELEFONIA-7096170001</v>
      </c>
      <c r="E190" s="35" t="str">
        <f>VLOOKUP(C190,[2]DATOS!$B$6:$E$1004,4,FALSE)</f>
        <v>10.96.2.164</v>
      </c>
      <c r="F190" s="35" t="str">
        <f>VLOOKUP(C190,[2]DATOS!$B$6:$P$1002,15,FALSE)</f>
        <v>PULP</v>
      </c>
      <c r="G190" s="37" t="s">
        <v>876</v>
      </c>
      <c r="H190" s="37" t="s">
        <v>1061</v>
      </c>
      <c r="I190" s="38" t="s">
        <v>975</v>
      </c>
      <c r="J190" s="38" t="s">
        <v>835</v>
      </c>
      <c r="K190" s="46">
        <v>45940.758321759262</v>
      </c>
      <c r="L190" s="39">
        <f t="shared" si="6"/>
        <v>0.16273148148320615</v>
      </c>
    </row>
    <row r="191" spans="1:12" s="37" customFormat="1" x14ac:dyDescent="0.25">
      <c r="A191" s="34">
        <v>45941.64607638889</v>
      </c>
      <c r="B191" s="37" t="s">
        <v>1052</v>
      </c>
      <c r="C191" s="36">
        <v>10000573525</v>
      </c>
      <c r="D191" s="35" t="e">
        <f>VLOOKUP(C191,[2]DATOS!$B$6:$D$1004,3,FALSE)</f>
        <v>#N/A</v>
      </c>
      <c r="E191" s="35" t="e">
        <f>VLOOKUP(C191,[2]DATOS!$B$6:$E$1004,4,FALSE)</f>
        <v>#N/A</v>
      </c>
      <c r="F191" s="35" t="e">
        <f>VLOOKUP(C191,[2]DATOS!$B$6:$P$1002,15,FALSE)</f>
        <v>#N/A</v>
      </c>
      <c r="G191" s="35" t="s">
        <v>759</v>
      </c>
      <c r="H191" s="37" t="s">
        <v>1059</v>
      </c>
      <c r="I191" s="38" t="s">
        <v>975</v>
      </c>
      <c r="J191" s="38" t="s">
        <v>835</v>
      </c>
      <c r="K191" s="46">
        <v>45941.753877314812</v>
      </c>
      <c r="L191" s="39">
        <f t="shared" si="6"/>
        <v>0.10780092592176516</v>
      </c>
    </row>
    <row r="192" spans="1:12" s="37" customFormat="1" x14ac:dyDescent="0.25">
      <c r="A192" s="34">
        <v>45941.696805555555</v>
      </c>
      <c r="B192" s="37" t="s">
        <v>1053</v>
      </c>
      <c r="C192" s="36">
        <v>10000138837</v>
      </c>
      <c r="D192" s="35" t="str">
        <f>VLOOKUP(C192,[2]DATOS!$B$6:$D$1004,3,FALSE)</f>
        <v>CMPC-PAPELES-EIRA-OSORNO-CORE-SW-10000138837</v>
      </c>
      <c r="E192" s="35" t="str">
        <f>VLOOKUP(C192,[2]DATOS!$B$6:$E$1004,4,FALSE)</f>
        <v>10.234.50.117</v>
      </c>
      <c r="F192" s="35" t="str">
        <f>VLOOKUP(C192,[2]DATOS!$B$6:$P$1002,15,FALSE)</f>
        <v>CORRUGADO</v>
      </c>
      <c r="G192" s="35" t="s">
        <v>759</v>
      </c>
      <c r="H192" s="37" t="s">
        <v>1056</v>
      </c>
      <c r="I192" s="38" t="s">
        <v>833</v>
      </c>
      <c r="J192" s="38" t="s">
        <v>835</v>
      </c>
      <c r="K192" s="46">
        <v>45941.789583333331</v>
      </c>
      <c r="L192" s="39">
        <f t="shared" si="6"/>
        <v>9.2777777776063886E-2</v>
      </c>
    </row>
    <row r="193" spans="1:12" s="37" customFormat="1" x14ac:dyDescent="0.25">
      <c r="A193" s="34">
        <v>45942.847210648149</v>
      </c>
      <c r="B193" s="37" t="s">
        <v>1054</v>
      </c>
      <c r="C193" s="36">
        <v>7853300001</v>
      </c>
      <c r="D193" s="35" t="str">
        <f>VLOOKUP(C193,[2]DATOS!$B$6:$D$1004,3,FALSE)</f>
        <v>CMPC-C-CEL-MADERAS-PLYWOOD-PRIN-7853300001-RESP-GTD</v>
      </c>
      <c r="E193" s="35" t="str">
        <f>VLOOKUP(C193,[2]DATOS!$B$6:$E$1004,4,FALSE)</f>
        <v>10.236.63.226</v>
      </c>
      <c r="F193" s="35" t="str">
        <f>VLOOKUP(C193,[2]DATOS!$B$6:$P$1002,15,FALSE)</f>
        <v>MADERAS</v>
      </c>
      <c r="G193" s="35" t="s">
        <v>759</v>
      </c>
      <c r="H193" s="37" t="s">
        <v>1055</v>
      </c>
      <c r="I193" s="38" t="s">
        <v>834</v>
      </c>
      <c r="J193" s="38" t="s">
        <v>14</v>
      </c>
      <c r="K193" s="46">
        <v>45942.942361111112</v>
      </c>
      <c r="L193" s="39">
        <f t="shared" si="6"/>
        <v>9.5150462962919846E-2</v>
      </c>
    </row>
    <row r="194" spans="1:12" s="37" customFormat="1" x14ac:dyDescent="0.25">
      <c r="A194" s="34">
        <v>45942.857881944445</v>
      </c>
      <c r="B194" s="37" t="s">
        <v>1057</v>
      </c>
      <c r="C194" s="36">
        <v>10000058627</v>
      </c>
      <c r="D194" s="35" t="str">
        <f>VLOOKUP(C194,[2]DATOS!$B$6:$D$1004,3,FALSE)</f>
        <v>CMPC-C-CEL-PACIFICO-PRIN-10000058627</v>
      </c>
      <c r="E194" s="35" t="str">
        <f>VLOOKUP(C194,[2]DATOS!$B$6:$E$1004,4,FALSE)</f>
        <v>10.221.19.102</v>
      </c>
      <c r="F194" s="35" t="str">
        <f>VLOOKUP(C194,[2]DATOS!$B$6:$P$1002,15,FALSE)</f>
        <v>PULP</v>
      </c>
      <c r="G194" s="35" t="s">
        <v>759</v>
      </c>
      <c r="H194" s="37" t="s">
        <v>1058</v>
      </c>
      <c r="I194" s="38" t="s">
        <v>834</v>
      </c>
      <c r="J194" s="38" t="s">
        <v>14</v>
      </c>
      <c r="K194" s="46">
        <v>45942.942361111112</v>
      </c>
      <c r="L194" s="39">
        <f t="shared" si="6"/>
        <v>8.4479166667733807E-2</v>
      </c>
    </row>
    <row r="195" spans="1:12" s="25" customFormat="1" x14ac:dyDescent="0.25">
      <c r="A195" s="24">
        <v>45945.585879629631</v>
      </c>
      <c r="B195" s="25" t="s">
        <v>1062</v>
      </c>
      <c r="C195" s="26">
        <v>10000372568</v>
      </c>
      <c r="D195" s="27" t="str">
        <f>VLOOKUP(C195,[2]DATOS!$B$6:$D$1004,3,FALSE)</f>
        <v>CMPC-PAPELES-EIRA-OSORNO-PORT-UPS-10000372568</v>
      </c>
      <c r="E195" s="27" t="str">
        <f>VLOOKUP(C195,[2]DATOS!$B$6:$E$1004,4,FALSE)</f>
        <v>10.235.87.252</v>
      </c>
      <c r="F195" s="27" t="str">
        <f>VLOOKUP(C195,[2]DATOS!$B$6:$P$1002,15,FALSE)</f>
        <v>CORRUGADO</v>
      </c>
      <c r="G195" s="25" t="s">
        <v>1066</v>
      </c>
      <c r="H195" s="25" t="s">
        <v>1063</v>
      </c>
      <c r="I195" s="28" t="s">
        <v>833</v>
      </c>
      <c r="J195" s="28" t="s">
        <v>835</v>
      </c>
      <c r="K195" s="29">
        <v>45950.486805555556</v>
      </c>
      <c r="L195" s="30">
        <f t="shared" si="6"/>
        <v>4.9009259259255487</v>
      </c>
    </row>
    <row r="196" spans="1:12" s="25" customFormat="1" x14ac:dyDescent="0.25">
      <c r="A196" s="24">
        <v>45947.602476851855</v>
      </c>
      <c r="B196" s="25" t="s">
        <v>1064</v>
      </c>
      <c r="C196" s="26">
        <v>7016120002</v>
      </c>
      <c r="D196" s="27" t="str">
        <f>VLOOKUP(C196,[2]DATOS!$B$6:$D$1004,3,FALSE)</f>
        <v>CMPC-D-TERCEROS-GENESYS-UNIC-7016120002</v>
      </c>
      <c r="E196" s="27" t="str">
        <f>VLOOKUP(C196,[2]DATOS!$B$6:$E$1004,4,FALSE)</f>
        <v>10.220.113.6</v>
      </c>
      <c r="F196" s="27" t="str">
        <f>VLOOKUP(C196,[2]DATOS!$B$6:$P$1002,15,FALSE)</f>
        <v>PULP</v>
      </c>
      <c r="G196" s="27" t="s">
        <v>759</v>
      </c>
      <c r="H196" s="25" t="s">
        <v>1065</v>
      </c>
      <c r="I196" s="28" t="s">
        <v>834</v>
      </c>
      <c r="J196" s="28" t="s">
        <v>14</v>
      </c>
      <c r="K196" s="29">
        <v>45948.486111111109</v>
      </c>
      <c r="L196" s="30">
        <f t="shared" si="6"/>
        <v>0.88363425925490446</v>
      </c>
    </row>
    <row r="197" spans="1:12" s="25" customFormat="1" x14ac:dyDescent="0.25">
      <c r="A197" s="24">
        <v>45950.489803240744</v>
      </c>
      <c r="B197" s="25" t="s">
        <v>1067</v>
      </c>
      <c r="C197" s="26">
        <v>10000058781</v>
      </c>
      <c r="D197" s="27" t="str">
        <f>VLOOKUP(C197,[2]DATOS!$B$6:$D$1004,3,FALSE)</f>
        <v>CMPC-C-CEL-SANTA-FE-PRIN-10000058781-RESP-GTD</v>
      </c>
      <c r="E197" s="27" t="str">
        <f>VLOOKUP(C197,[2]DATOS!$B$6:$E$1004,4,FALSE)</f>
        <v>10.221.19.98</v>
      </c>
      <c r="F197" s="27" t="str">
        <f>VLOOKUP(C197,[2]DATOS!$B$6:$P$1002,15,FALSE)</f>
        <v>PULP</v>
      </c>
      <c r="G197" s="27" t="s">
        <v>759</v>
      </c>
      <c r="H197" s="25" t="s">
        <v>1068</v>
      </c>
      <c r="I197" s="28" t="s">
        <v>974</v>
      </c>
      <c r="J197" s="28" t="s">
        <v>14</v>
      </c>
      <c r="K197" s="29">
        <v>45950.652083333334</v>
      </c>
      <c r="L197" s="30">
        <f t="shared" si="6"/>
        <v>0.16228009259066312</v>
      </c>
    </row>
    <row r="198" spans="1:12" s="25" customFormat="1" x14ac:dyDescent="0.25">
      <c r="A198" s="24">
        <v>45954.468506944446</v>
      </c>
      <c r="B198" s="25" t="s">
        <v>1083</v>
      </c>
      <c r="C198" s="25">
        <v>10000372573</v>
      </c>
      <c r="D198" s="27" t="str">
        <f>VLOOKUP(C198,[2]DATOS!$B$6:$D$1004,3,FALSE)</f>
        <v>CMPC-PAPELES-EIRA-OSORNO-CONVERT-UPS-10000372573</v>
      </c>
      <c r="E198" s="27" t="str">
        <f>VLOOKUP(C198,[2]DATOS!$B$6:$E$1004,4,FALSE)</f>
        <v>10.235.87.251</v>
      </c>
      <c r="F198" s="27" t="str">
        <f>VLOOKUP(C198,[2]DATOS!$B$6:$P$1002,15,FALSE)</f>
        <v>CORRUGADO</v>
      </c>
      <c r="G198" s="27" t="s">
        <v>1084</v>
      </c>
      <c r="H198" s="25" t="s">
        <v>1093</v>
      </c>
      <c r="I198" s="28" t="s">
        <v>874</v>
      </c>
      <c r="J198" s="28" t="s">
        <v>14</v>
      </c>
      <c r="K198" s="29">
        <v>45958.625</v>
      </c>
      <c r="L198" s="30">
        <f t="shared" si="6"/>
        <v>4.156493055554165</v>
      </c>
    </row>
    <row r="199" spans="1:12" s="25" customFormat="1" x14ac:dyDescent="0.25">
      <c r="A199" s="24">
        <v>45954.499756944446</v>
      </c>
      <c r="B199" s="25" t="s">
        <v>4</v>
      </c>
      <c r="C199" s="26">
        <v>10000000822</v>
      </c>
      <c r="D199" s="27" t="str">
        <f>VLOOKUP(C199,[2]DATOS!$B$6:$D$1004,3,FALSE)</f>
        <v>CMPC-C-CEL-MADERAS-PLANTA-CLEAR-PRIN-10000000822-RESP-GTD</v>
      </c>
      <c r="E199" s="27" t="str">
        <f>VLOOKUP(C199,[2]DATOS!$B$6:$E$1004,4,FALSE)</f>
        <v>10.228.65.66</v>
      </c>
      <c r="F199" s="27" t="str">
        <f>VLOOKUP(C199,[2]DATOS!$B$6:$P$1002,15,FALSE)</f>
        <v>MADERAS</v>
      </c>
      <c r="G199" s="27" t="s">
        <v>759</v>
      </c>
      <c r="H199" s="25" t="s">
        <v>1085</v>
      </c>
      <c r="I199" s="28" t="s">
        <v>993</v>
      </c>
      <c r="J199" s="28" t="s">
        <v>835</v>
      </c>
      <c r="K199" s="29">
        <v>45954.540972222225</v>
      </c>
      <c r="L199" s="30">
        <f t="shared" si="6"/>
        <v>4.1215277778974269E-2</v>
      </c>
    </row>
    <row r="200" spans="1:12" s="25" customFormat="1" x14ac:dyDescent="0.25">
      <c r="A200" s="24">
        <v>45957.014340277776</v>
      </c>
      <c r="B200" s="25" t="s">
        <v>1086</v>
      </c>
      <c r="C200" s="26">
        <v>7853300001</v>
      </c>
      <c r="D200" s="27" t="str">
        <f>VLOOKUP(C200,[2]DATOS!$B$6:$D$1004,3,FALSE)</f>
        <v>CMPC-C-CEL-MADERAS-PLYWOOD-PRIN-7853300001-RESP-GTD</v>
      </c>
      <c r="E200" s="27" t="str">
        <f>VLOOKUP(C200,[2]DATOS!$B$6:$E$1004,4,FALSE)</f>
        <v>10.236.63.226</v>
      </c>
      <c r="F200" s="27" t="str">
        <f>VLOOKUP(C200,[2]DATOS!$B$6:$P$1002,15,FALSE)</f>
        <v>MADERAS</v>
      </c>
      <c r="G200" s="27" t="s">
        <v>759</v>
      </c>
      <c r="H200" s="25" t="s">
        <v>1087</v>
      </c>
      <c r="I200" s="28" t="s">
        <v>834</v>
      </c>
      <c r="J200" s="28" t="s">
        <v>14</v>
      </c>
      <c r="K200" s="29">
        <v>45957.35</v>
      </c>
      <c r="L200" s="30">
        <f t="shared" si="6"/>
        <v>0.33565972222277196</v>
      </c>
    </row>
    <row r="201" spans="1:12" s="25" customFormat="1" x14ac:dyDescent="0.25">
      <c r="A201" s="24">
        <v>45957.021504629629</v>
      </c>
      <c r="B201" s="25" t="s">
        <v>1088</v>
      </c>
      <c r="C201" s="26">
        <v>10000058627</v>
      </c>
      <c r="D201" s="27" t="str">
        <f>VLOOKUP(C201,[2]DATOS!$B$6:$D$1004,3,FALSE)</f>
        <v>CMPC-C-CEL-PACIFICO-PRIN-10000058627</v>
      </c>
      <c r="E201" s="27" t="str">
        <f>VLOOKUP(C201,[2]DATOS!$B$6:$E$1004,4,FALSE)</f>
        <v>10.221.19.102</v>
      </c>
      <c r="F201" s="27" t="str">
        <f>VLOOKUP(C201,[2]DATOS!$B$6:$P$1002,15,FALSE)</f>
        <v>PULP</v>
      </c>
      <c r="G201" s="27" t="s">
        <v>759</v>
      </c>
      <c r="H201" s="25" t="s">
        <v>1087</v>
      </c>
      <c r="I201" s="28" t="s">
        <v>834</v>
      </c>
      <c r="J201" s="28" t="s">
        <v>14</v>
      </c>
      <c r="K201" s="29">
        <v>45957.35</v>
      </c>
      <c r="L201" s="30">
        <f t="shared" si="6"/>
        <v>0.32849537036963739</v>
      </c>
    </row>
    <row r="202" spans="1:12" s="25" customFormat="1" x14ac:dyDescent="0.25">
      <c r="A202" s="24">
        <v>45957.673981481479</v>
      </c>
      <c r="B202" s="25" t="s">
        <v>1091</v>
      </c>
      <c r="C202" s="26">
        <v>10000514345</v>
      </c>
      <c r="D202" s="27" t="str">
        <f>VLOOKUP(C202,[2]DATOS!$B$6:$D$1004,3,FALSE)</f>
        <v>CMPC-D-CEL-CAPITAN-PASTENE-UNIC-10000514345</v>
      </c>
      <c r="E202" s="27" t="str">
        <f>VLOOKUP(C202,[2]DATOS!$B$6:$E$1004,4,FALSE)</f>
        <v>10.236.65.210</v>
      </c>
      <c r="F202" s="27" t="str">
        <f>VLOOKUP(C202,[2]DATOS!$B$6:$P$1002,15,FALSE)</f>
        <v>FORESTAL</v>
      </c>
      <c r="G202" s="27" t="s">
        <v>759</v>
      </c>
      <c r="H202" s="25" t="s">
        <v>1094</v>
      </c>
      <c r="K202" s="29">
        <v>45958.615972222222</v>
      </c>
      <c r="L202" s="30">
        <f t="shared" si="6"/>
        <v>0.94199074074276723</v>
      </c>
    </row>
    <row r="203" spans="1:12" s="25" customFormat="1" x14ac:dyDescent="0.25">
      <c r="A203" s="24">
        <v>45957.725034722222</v>
      </c>
      <c r="B203" s="25" t="s">
        <v>1089</v>
      </c>
      <c r="C203" s="26">
        <v>7096170001</v>
      </c>
      <c r="D203" s="27" t="str">
        <f>VLOOKUP(C203,[2]DATOS!$B$6:$D$1004,3,FALSE)</f>
        <v>CMPC-C-CEL-PACIFICO-TELEFONIA-7096170001</v>
      </c>
      <c r="E203" s="27" t="str">
        <f>VLOOKUP(C203,[2]DATOS!$B$6:$E$1004,4,FALSE)</f>
        <v>10.96.2.164</v>
      </c>
      <c r="F203" s="27" t="str">
        <f>VLOOKUP(C203,[2]DATOS!$B$6:$P$1002,15,FALSE)</f>
        <v>PULP</v>
      </c>
      <c r="G203" s="27" t="s">
        <v>759</v>
      </c>
      <c r="H203" s="25" t="s">
        <v>1092</v>
      </c>
      <c r="I203" s="28" t="s">
        <v>975</v>
      </c>
      <c r="J203" s="28" t="s">
        <v>835</v>
      </c>
      <c r="K203" s="29">
        <v>45957.875</v>
      </c>
      <c r="L203" s="30">
        <f t="shared" si="6"/>
        <v>0.14996527777839219</v>
      </c>
    </row>
    <row r="204" spans="1:12" s="25" customFormat="1" x14ac:dyDescent="0.25">
      <c r="A204" s="24">
        <v>45958.441701388889</v>
      </c>
      <c r="B204" s="25" t="s">
        <v>4</v>
      </c>
      <c r="C204" s="26">
        <v>10000577752</v>
      </c>
      <c r="D204" s="27" t="str">
        <f>VLOOKUP(C204,[2]DATOS!$B$6:$D$1004,3,FALSE)</f>
        <v>CMPC-D-CEL-C.PINARES-INTERNET-10000577752</v>
      </c>
      <c r="E204" s="27" t="str">
        <f>VLOOKUP(C204,[2]DATOS!$B$6:$E$1004,4,FALSE)</f>
        <v>10.234.150.114</v>
      </c>
      <c r="F204" s="27" t="str">
        <f>VLOOKUP(C204,[2]DATOS!$B$6:$P$1002,15,FALSE)</f>
        <v>CELULOSA</v>
      </c>
      <c r="G204" s="27" t="s">
        <v>759</v>
      </c>
      <c r="H204" s="25" t="s">
        <v>1090</v>
      </c>
      <c r="I204" s="28" t="s">
        <v>833</v>
      </c>
      <c r="J204" s="28" t="s">
        <v>835</v>
      </c>
      <c r="K204" s="29">
        <v>45958.548611111109</v>
      </c>
      <c r="L204" s="30">
        <f t="shared" si="6"/>
        <v>0.10690972222073469</v>
      </c>
    </row>
    <row r="205" spans="1:12" s="25" customFormat="1" x14ac:dyDescent="0.25">
      <c r="A205" s="24">
        <v>45958.699675925927</v>
      </c>
      <c r="B205" s="25" t="s">
        <v>1096</v>
      </c>
      <c r="C205" s="26">
        <v>6999070001</v>
      </c>
      <c r="D205" s="27" t="str">
        <f>VLOOKUP(C205,[2]DATOS!$B$6:$D$1004,3,FALSE)</f>
        <v>CMPC-D-BIO-SOREPA-ANTOFAGASTA-PRIN-6999070001-RESP-GTD</v>
      </c>
      <c r="E205" s="27" t="str">
        <f>VLOOKUP(C205,[2]DATOS!$B$6:$E$1004,4,FALSE)</f>
        <v>10.220.168.102</v>
      </c>
      <c r="F205" s="27" t="str">
        <f>VLOOKUP(C205,[2]DATOS!$B$6:$P$1002,15,FALSE)</f>
        <v>CORRUGADO</v>
      </c>
      <c r="G205" s="27" t="s">
        <v>759</v>
      </c>
      <c r="H205" s="25" t="s">
        <v>1095</v>
      </c>
      <c r="I205" s="28" t="s">
        <v>834</v>
      </c>
      <c r="J205" s="28" t="s">
        <v>14</v>
      </c>
      <c r="K205" s="29">
        <v>45958.714583333334</v>
      </c>
      <c r="L205" s="30">
        <f t="shared" si="6"/>
        <v>1.4907407407008577E-2</v>
      </c>
    </row>
    <row r="206" spans="1:12" s="25" customFormat="1" x14ac:dyDescent="0.25">
      <c r="A206" s="24">
        <v>45958.840648148151</v>
      </c>
      <c r="B206" s="25" t="s">
        <v>1099</v>
      </c>
      <c r="C206" s="26">
        <v>7853300001</v>
      </c>
      <c r="D206" s="27" t="str">
        <f>VLOOKUP(C206,[2]DATOS!$B$6:$D$1004,3,FALSE)</f>
        <v>CMPC-C-CEL-MADERAS-PLYWOOD-PRIN-7853300001-RESP-GTD</v>
      </c>
      <c r="E206" s="27" t="str">
        <f>VLOOKUP(C206,[2]DATOS!$B$6:$E$1004,4,FALSE)</f>
        <v>10.236.63.226</v>
      </c>
      <c r="F206" s="27" t="str">
        <f>VLOOKUP(C206,[2]DATOS!$B$6:$P$1002,15,FALSE)</f>
        <v>MADERAS</v>
      </c>
      <c r="G206" s="27" t="s">
        <v>759</v>
      </c>
      <c r="H206" s="25" t="s">
        <v>1100</v>
      </c>
      <c r="I206" s="28" t="s">
        <v>834</v>
      </c>
      <c r="J206" s="28" t="s">
        <v>14</v>
      </c>
      <c r="K206" s="29">
        <v>45958.853472222225</v>
      </c>
      <c r="L206" s="30">
        <f t="shared" si="6"/>
        <v>1.2824074074160308E-2</v>
      </c>
    </row>
    <row r="207" spans="1:12" s="25" customFormat="1" x14ac:dyDescent="0.25">
      <c r="A207" s="24">
        <v>45958.852638888886</v>
      </c>
      <c r="B207" s="25" t="s">
        <v>1097</v>
      </c>
      <c r="C207" s="26">
        <v>10000569696</v>
      </c>
      <c r="D207" s="27" t="str">
        <f>VLOOKUP(C207,[2]DATOS!$B$6:$D$1004,3,FALSE)</f>
        <v>CMPC-A-EMP-CMPC-DC-CDLV-SWITCH-CORE-9300-10000569696</v>
      </c>
      <c r="E207" s="27" t="str">
        <f>VLOOKUP(C207,[2]DATOS!$B$6:$E$1004,4,FALSE)</f>
        <v>10.234.225.180</v>
      </c>
      <c r="F207" s="27" t="str">
        <f>VLOOKUP(C207,[2]DATOS!$B$6:$P$1002,15,FALSE)</f>
        <v>EMPRESAS CMPC</v>
      </c>
      <c r="G207" s="25" t="s">
        <v>1098</v>
      </c>
      <c r="H207" s="25" t="s">
        <v>1101</v>
      </c>
      <c r="I207" s="28" t="s">
        <v>975</v>
      </c>
      <c r="J207" s="28" t="s">
        <v>835</v>
      </c>
      <c r="K207" s="29">
        <v>45958.912499999999</v>
      </c>
      <c r="L207" s="30">
        <f t="shared" si="6"/>
        <v>5.9861111112695653E-2</v>
      </c>
    </row>
    <row r="208" spans="1:12" s="25" customFormat="1" x14ac:dyDescent="0.25">
      <c r="A208" s="24">
        <v>45958.911215277774</v>
      </c>
      <c r="B208" s="25" t="s">
        <v>1102</v>
      </c>
      <c r="C208" s="26">
        <v>10000573525</v>
      </c>
      <c r="D208" s="27" t="e">
        <f>VLOOKUP(C208,[2]DATOS!$B$6:$D$1004,3,FALSE)</f>
        <v>#N/A</v>
      </c>
      <c r="E208" s="27" t="e">
        <f>VLOOKUP(C208,[2]DATOS!$B$6:$E$1004,4,FALSE)</f>
        <v>#N/A</v>
      </c>
      <c r="F208" s="27" t="e">
        <f>VLOOKUP(C208,[2]DATOS!$B$6:$P$1002,15,FALSE)</f>
        <v>#N/A</v>
      </c>
      <c r="G208" s="25" t="s">
        <v>1098</v>
      </c>
      <c r="H208" s="25" t="s">
        <v>1101</v>
      </c>
      <c r="I208" s="28" t="s">
        <v>975</v>
      </c>
      <c r="J208" s="28" t="s">
        <v>835</v>
      </c>
      <c r="K208" s="29">
        <v>45958.912499999999</v>
      </c>
      <c r="L208" s="30">
        <f t="shared" si="6"/>
        <v>1.2847222242271528E-3</v>
      </c>
    </row>
    <row r="209" spans="1:12" s="25" customFormat="1" x14ac:dyDescent="0.25">
      <c r="A209" s="24">
        <v>45958.911215277774</v>
      </c>
      <c r="B209" s="25" t="s">
        <v>1103</v>
      </c>
      <c r="C209" s="26">
        <v>10000573525</v>
      </c>
      <c r="D209" s="27" t="e">
        <f>VLOOKUP(C209,[2]DATOS!$B$6:$D$1004,3,FALSE)</f>
        <v>#N/A</v>
      </c>
      <c r="E209" s="27" t="e">
        <f>VLOOKUP(C209,[2]DATOS!$B$6:$E$1004,4,FALSE)</f>
        <v>#N/A</v>
      </c>
      <c r="F209" s="27" t="e">
        <f>VLOOKUP(C209,[2]DATOS!$B$6:$P$1002,15,FALSE)</f>
        <v>#N/A</v>
      </c>
      <c r="G209" s="25" t="s">
        <v>1098</v>
      </c>
      <c r="H209" s="25" t="s">
        <v>1101</v>
      </c>
      <c r="I209" s="28" t="s">
        <v>975</v>
      </c>
      <c r="J209" s="28" t="s">
        <v>835</v>
      </c>
      <c r="K209" s="29">
        <v>45958.912499999999</v>
      </c>
      <c r="L209" s="30">
        <f t="shared" si="6"/>
        <v>1.2847222242271528E-3</v>
      </c>
    </row>
    <row r="210" spans="1:12" s="25" customFormat="1" x14ac:dyDescent="0.25">
      <c r="A210" s="24">
        <v>45959.067604166667</v>
      </c>
      <c r="B210" s="25" t="s">
        <v>1104</v>
      </c>
      <c r="C210" s="26">
        <v>10000058627</v>
      </c>
      <c r="D210" s="27" t="str">
        <f>VLOOKUP(C210,[2]DATOS!$B$6:$D$1004,3,FALSE)</f>
        <v>CMPC-C-CEL-PACIFICO-PRIN-10000058627</v>
      </c>
      <c r="E210" s="27" t="str">
        <f>VLOOKUP(C210,[2]DATOS!$B$6:$E$1004,4,FALSE)</f>
        <v>10.221.19.102</v>
      </c>
      <c r="F210" s="27" t="str">
        <f>VLOOKUP(C210,[2]DATOS!$B$6:$P$1002,15,FALSE)</f>
        <v>PULP</v>
      </c>
      <c r="G210" s="27" t="s">
        <v>759</v>
      </c>
      <c r="H210" s="25" t="s">
        <v>1105</v>
      </c>
      <c r="I210" s="28" t="s">
        <v>834</v>
      </c>
      <c r="J210" s="28" t="s">
        <v>14</v>
      </c>
      <c r="K210" s="29">
        <v>45959.326388888891</v>
      </c>
      <c r="L210" s="30">
        <f t="shared" si="6"/>
        <v>0.25878472222393611</v>
      </c>
    </row>
    <row r="211" spans="1:12" s="25" customFormat="1" x14ac:dyDescent="0.25">
      <c r="A211" s="24">
        <v>45959.693495370368</v>
      </c>
      <c r="B211" s="25" t="s">
        <v>1106</v>
      </c>
      <c r="C211" s="26">
        <v>6999070001</v>
      </c>
      <c r="D211" s="27" t="str">
        <f>VLOOKUP(C211,[2]DATOS!$B$6:$D$1004,3,FALSE)</f>
        <v>CMPC-D-BIO-SOREPA-ANTOFAGASTA-PRIN-6999070001-RESP-GTD</v>
      </c>
      <c r="E211" s="27" t="str">
        <f>VLOOKUP(C211,[2]DATOS!$B$6:$E$1004,4,FALSE)</f>
        <v>10.220.168.102</v>
      </c>
      <c r="F211" s="27" t="str">
        <f>VLOOKUP(C211,[2]DATOS!$B$6:$P$1002,15,FALSE)</f>
        <v>CORRUGADO</v>
      </c>
      <c r="G211" s="27" t="s">
        <v>759</v>
      </c>
      <c r="H211" s="25" t="s">
        <v>1107</v>
      </c>
      <c r="I211" s="28" t="s">
        <v>834</v>
      </c>
      <c r="J211" s="28" t="s">
        <v>14</v>
      </c>
      <c r="K211" s="29">
        <v>45960.54791666667</v>
      </c>
      <c r="L211" s="30">
        <f t="shared" si="6"/>
        <v>0.854421296302462</v>
      </c>
    </row>
    <row r="212" spans="1:12" s="25" customFormat="1" x14ac:dyDescent="0.25">
      <c r="A212" s="24">
        <v>45960.679606481484</v>
      </c>
      <c r="B212" s="25" t="s">
        <v>1109</v>
      </c>
      <c r="C212" s="26">
        <v>6963530001</v>
      </c>
      <c r="D212" s="27" t="str">
        <f>VLOOKUP(C212,[2]DATOS!$B$6:$D$1004,3,FALSE)</f>
        <v>CMPC-D-CEL-FORMIN-ANGOL-UNIC-6963530001</v>
      </c>
      <c r="E212" s="27" t="str">
        <f>VLOOKUP(C212,[2]DATOS!$B$6:$E$1004,4,FALSE)</f>
        <v>10.220.168.246</v>
      </c>
      <c r="F212" s="27" t="str">
        <f>VLOOKUP(C212,[2]DATOS!$B$6:$P$1002,15,FALSE)</f>
        <v>FORESTAL</v>
      </c>
      <c r="G212" s="27" t="s">
        <v>759</v>
      </c>
      <c r="H212" s="25" t="s">
        <v>1108</v>
      </c>
      <c r="I212" s="28" t="s">
        <v>834</v>
      </c>
      <c r="J212" s="28" t="s">
        <v>14</v>
      </c>
      <c r="K212" s="29">
        <v>45960.754606481481</v>
      </c>
      <c r="L212" s="30">
        <f t="shared" si="6"/>
        <v>7.4999999997089617E-2</v>
      </c>
    </row>
    <row r="213" spans="1:12" s="25" customFormat="1" x14ac:dyDescent="0.25">
      <c r="A213" s="24">
        <v>45963.577592592592</v>
      </c>
      <c r="B213" s="25" t="s">
        <v>1110</v>
      </c>
      <c r="C213" s="26">
        <v>10000138837</v>
      </c>
      <c r="D213" s="27" t="str">
        <f>VLOOKUP(C213,[2]DATOS!$B$6:$D$1004,3,FALSE)</f>
        <v>CMPC-PAPELES-EIRA-OSORNO-CORE-SW-10000138837</v>
      </c>
      <c r="E213" s="27" t="str">
        <f>VLOOKUP(C213,[2]DATOS!$B$6:$E$1004,4,FALSE)</f>
        <v>10.234.50.117</v>
      </c>
      <c r="F213" s="27" t="str">
        <f>VLOOKUP(C213,[2]DATOS!$B$6:$P$1002,15,FALSE)</f>
        <v>CORRUGADO</v>
      </c>
      <c r="G213" s="27" t="s">
        <v>759</v>
      </c>
      <c r="H213" s="25" t="s">
        <v>1090</v>
      </c>
      <c r="I213" s="28" t="s">
        <v>833</v>
      </c>
      <c r="J213" s="28" t="s">
        <v>835</v>
      </c>
      <c r="K213" s="29">
        <v>45963.637314814812</v>
      </c>
      <c r="L213" s="30">
        <f t="shared" si="6"/>
        <v>5.9722222220443655E-2</v>
      </c>
    </row>
    <row r="214" spans="1:12" s="25" customFormat="1" x14ac:dyDescent="0.25">
      <c r="A214" s="24">
        <v>45967.591192129628</v>
      </c>
      <c r="B214" s="25" t="s">
        <v>1111</v>
      </c>
      <c r="C214" s="26">
        <v>7096170001</v>
      </c>
      <c r="D214" s="27" t="str">
        <f>VLOOKUP(C214,[2]DATOS!$B$6:$D$1004,3,FALSE)</f>
        <v>CMPC-C-CEL-PACIFICO-TELEFONIA-7096170001</v>
      </c>
      <c r="E214" s="27" t="str">
        <f>VLOOKUP(C214,[2]DATOS!$B$6:$E$1004,4,FALSE)</f>
        <v>10.96.2.164</v>
      </c>
      <c r="F214" s="27" t="str">
        <f>VLOOKUP(C214,[2]DATOS!$B$6:$P$1002,15,FALSE)</f>
        <v>PULP</v>
      </c>
      <c r="G214" s="25" t="s">
        <v>876</v>
      </c>
      <c r="H214" s="25" t="s">
        <v>1114</v>
      </c>
      <c r="I214" s="28" t="s">
        <v>974</v>
      </c>
      <c r="J214" s="28" t="s">
        <v>835</v>
      </c>
      <c r="K214" s="29">
        <v>45971.579085648147</v>
      </c>
      <c r="L214" s="30">
        <f t="shared" si="6"/>
        <v>3.9878935185188311</v>
      </c>
    </row>
    <row r="215" spans="1:12" s="25" customFormat="1" x14ac:dyDescent="0.25">
      <c r="A215" s="24">
        <v>45970.427303240744</v>
      </c>
      <c r="B215" s="25" t="s">
        <v>4</v>
      </c>
      <c r="C215" s="26">
        <v>10000000853</v>
      </c>
      <c r="D215" s="27" t="str">
        <f>VLOOKUP(C215,[2]DATOS!$B$6:$D$1004,3,FALSE)</f>
        <v>CMPC-D-CEL-MADERAS-MULCHEN-PRIN-10000000853-RESP-GTD</v>
      </c>
      <c r="E215" s="27" t="str">
        <f>VLOOKUP(C215,[2]DATOS!$B$6:$E$1004,4,FALSE)</f>
        <v>10.228.65.62</v>
      </c>
      <c r="F215" s="27" t="str">
        <f>VLOOKUP(C215,[2]DATOS!$B$6:$P$1002,15,FALSE)</f>
        <v>MADERAS</v>
      </c>
      <c r="G215" s="27" t="s">
        <v>759</v>
      </c>
      <c r="H215" s="25" t="s">
        <v>1112</v>
      </c>
      <c r="I215" s="28" t="s">
        <v>993</v>
      </c>
      <c r="J215" s="28" t="s">
        <v>835</v>
      </c>
      <c r="K215" s="29">
        <v>45970.780300925922</v>
      </c>
      <c r="L215" s="30">
        <f t="shared" si="6"/>
        <v>0.35299768517870689</v>
      </c>
    </row>
    <row r="216" spans="1:12" s="25" customFormat="1" x14ac:dyDescent="0.25">
      <c r="A216" s="24">
        <v>45972.668668981481</v>
      </c>
      <c r="B216" s="25" t="s">
        <v>1083</v>
      </c>
      <c r="C216" s="25">
        <v>10000372568</v>
      </c>
      <c r="D216" s="27" t="str">
        <f>VLOOKUP(C216,[2]DATOS!$B$6:$D$1004,3,FALSE)</f>
        <v>CMPC-PAPELES-EIRA-OSORNO-PORT-UPS-10000372568</v>
      </c>
      <c r="E216" s="27" t="str">
        <f>VLOOKUP(C216,[2]DATOS!$B$6:$E$1004,4,FALSE)</f>
        <v>10.235.87.252</v>
      </c>
      <c r="F216" s="27" t="str">
        <f>VLOOKUP(C216,[2]DATOS!$B$6:$P$1002,15,FALSE)</f>
        <v>CORRUGADO</v>
      </c>
      <c r="G216" s="27" t="s">
        <v>1084</v>
      </c>
      <c r="H216" s="25" t="s">
        <v>1113</v>
      </c>
      <c r="I216" s="28" t="s">
        <v>874</v>
      </c>
      <c r="J216" s="28" t="s">
        <v>14</v>
      </c>
      <c r="K216" s="29">
        <v>45972.674224537041</v>
      </c>
      <c r="L216" s="30">
        <f t="shared" si="6"/>
        <v>5.5555555591126904E-3</v>
      </c>
    </row>
    <row r="217" spans="1:12" s="25" customFormat="1" x14ac:dyDescent="0.25">
      <c r="A217" s="24">
        <v>45974.55300925926</v>
      </c>
      <c r="B217" s="25" t="s">
        <v>1115</v>
      </c>
      <c r="C217" s="26">
        <v>10000372573</v>
      </c>
      <c r="D217" s="27" t="str">
        <f>VLOOKUP(C217,[2]DATOS!$B$6:$D$1004,3,FALSE)</f>
        <v>CMPC-PAPELES-EIRA-OSORNO-CONVERT-UPS-10000372573</v>
      </c>
      <c r="E217" s="27" t="str">
        <f>VLOOKUP(C217,[2]DATOS!$B$6:$E$1004,4,FALSE)</f>
        <v>10.235.87.251</v>
      </c>
      <c r="F217" s="27" t="str">
        <f>VLOOKUP(C217,[2]DATOS!$B$6:$P$1002,15,FALSE)</f>
        <v>CORRUGADO</v>
      </c>
      <c r="G217" s="27" t="s">
        <v>1084</v>
      </c>
      <c r="H217" s="25" t="s">
        <v>1113</v>
      </c>
      <c r="I217" s="28" t="s">
        <v>874</v>
      </c>
      <c r="J217" s="28" t="s">
        <v>14</v>
      </c>
      <c r="K217" s="29">
        <v>45974.70416666667</v>
      </c>
      <c r="L217" s="30">
        <f t="shared" si="6"/>
        <v>0.15115740741021</v>
      </c>
    </row>
    <row r="218" spans="1:12" s="25" customFormat="1" x14ac:dyDescent="0.25">
      <c r="A218" s="24">
        <v>45974.555659722224</v>
      </c>
      <c r="B218" s="25" t="s">
        <v>1116</v>
      </c>
      <c r="C218" s="26">
        <v>10000372569</v>
      </c>
      <c r="D218" s="27" t="str">
        <f>VLOOKUP(C218,[2]DATOS!$B$6:$D$1004,3,FALSE)</f>
        <v>CMPC-PAPELES-EIRA-OSORNO-ENFARD-UPS-10000372569</v>
      </c>
      <c r="E218" s="27" t="str">
        <f>VLOOKUP(C218,[2]DATOS!$B$6:$E$1004,4,FALSE)</f>
        <v>10.235.87.254</v>
      </c>
      <c r="F218" s="27" t="str">
        <f>VLOOKUP(C218,[2]DATOS!$B$6:$P$1002,15,FALSE)</f>
        <v>CORRUGADO</v>
      </c>
      <c r="G218" s="27" t="s">
        <v>1084</v>
      </c>
      <c r="H218" s="25" t="s">
        <v>1113</v>
      </c>
      <c r="I218" s="28" t="s">
        <v>874</v>
      </c>
      <c r="J218" s="28" t="s">
        <v>14</v>
      </c>
      <c r="K218" s="29">
        <v>45974.70416666667</v>
      </c>
      <c r="L218" s="30">
        <f t="shared" si="6"/>
        <v>0.148506944446126</v>
      </c>
    </row>
    <row r="219" spans="1:12" s="25" customFormat="1" x14ac:dyDescent="0.25">
      <c r="A219" s="24">
        <v>45974.558125000003</v>
      </c>
      <c r="B219" s="25" t="s">
        <v>1117</v>
      </c>
      <c r="C219" s="26">
        <v>10000372574</v>
      </c>
      <c r="D219" s="27" t="str">
        <f>VLOOKUP(C219,[2]DATOS!$B$6:$D$1004,3,FALSE)</f>
        <v>CMPC-PAPELES-EIRA-OSORNO-MESN-UPS-10000372574</v>
      </c>
      <c r="E219" s="27" t="str">
        <f>VLOOKUP(C219,[2]DATOS!$B$6:$E$1004,4,FALSE)</f>
        <v>10.235.87.253</v>
      </c>
      <c r="F219" s="27" t="str">
        <f>VLOOKUP(C219,[2]DATOS!$B$6:$P$1002,15,FALSE)</f>
        <v>CORRUGADO</v>
      </c>
      <c r="G219" s="27" t="s">
        <v>1084</v>
      </c>
      <c r="H219" s="25" t="s">
        <v>1113</v>
      </c>
      <c r="I219" s="28" t="s">
        <v>874</v>
      </c>
      <c r="J219" s="28" t="s">
        <v>14</v>
      </c>
      <c r="K219" s="29">
        <v>45974.70416666667</v>
      </c>
      <c r="L219" s="30">
        <f t="shared" ref="L219:L250" si="7">K219-A219</f>
        <v>0.14604166666686069</v>
      </c>
    </row>
    <row r="220" spans="1:12" s="25" customFormat="1" x14ac:dyDescent="0.25">
      <c r="A220" s="24">
        <v>45977.829375000001</v>
      </c>
      <c r="B220" s="25" t="s">
        <v>1118</v>
      </c>
      <c r="C220" s="26">
        <v>10000000824</v>
      </c>
      <c r="D220" s="27" t="str">
        <f>VLOOKUP(C220,[2]DATOS!$B$6:$D$1004,3,FALSE)</f>
        <v>CMPC-D-CEL-MADERAS-BUCALEMU-PRIN-10000000824-RESP-GTD</v>
      </c>
      <c r="E220" s="27" t="str">
        <f>VLOOKUP(C220,[2]DATOS!$B$6:$E$1004,4,FALSE)</f>
        <v>10.228.65.30</v>
      </c>
      <c r="F220" s="27" t="str">
        <f>VLOOKUP(C220,[2]DATOS!$B$6:$P$1002,15,FALSE)</f>
        <v>MADERAS</v>
      </c>
      <c r="G220" s="27" t="s">
        <v>759</v>
      </c>
      <c r="H220" s="25" t="s">
        <v>1119</v>
      </c>
      <c r="I220" s="28" t="s">
        <v>834</v>
      </c>
      <c r="J220" s="28" t="s">
        <v>14</v>
      </c>
      <c r="K220" s="29">
        <v>45977.859467592592</v>
      </c>
      <c r="L220" s="30">
        <f t="shared" si="7"/>
        <v>3.0092592591245193E-2</v>
      </c>
    </row>
    <row r="221" spans="1:12" s="25" customFormat="1" x14ac:dyDescent="0.25">
      <c r="A221" s="24">
        <v>45979.39199074074</v>
      </c>
      <c r="B221" s="25" t="s">
        <v>1120</v>
      </c>
      <c r="C221" s="26">
        <v>10000270555</v>
      </c>
      <c r="D221" s="27" t="str">
        <f>VLOOKUP(C221,[2]DATOS!$B$6:$D$1004,3,FALSE)</f>
        <v>CMPC-D-TERCEROS-SONDA-RESP-10000270555</v>
      </c>
      <c r="E221" s="27" t="str">
        <f>VLOOKUP(C221,[2]DATOS!$B$6:$E$1004,4,FALSE)</f>
        <v>10.221.113.138</v>
      </c>
      <c r="F221" s="27" t="str">
        <f>VLOOKUP(C221,[2]DATOS!$B$6:$P$1002,15,FALSE)</f>
        <v>PULP</v>
      </c>
      <c r="G221" s="27" t="s">
        <v>759</v>
      </c>
      <c r="H221" s="25" t="s">
        <v>1121</v>
      </c>
      <c r="I221" s="28" t="s">
        <v>836</v>
      </c>
      <c r="J221" s="28" t="s">
        <v>14</v>
      </c>
      <c r="K221" s="29">
        <v>45979.490972222222</v>
      </c>
      <c r="L221" s="30">
        <f t="shared" si="7"/>
        <v>9.8981481482042E-2</v>
      </c>
    </row>
    <row r="222" spans="1:12" s="25" customFormat="1" x14ac:dyDescent="0.25">
      <c r="A222" s="24">
        <v>45980.288831018515</v>
      </c>
      <c r="B222" s="25" t="s">
        <v>1122</v>
      </c>
      <c r="C222" s="26">
        <v>10000065131</v>
      </c>
      <c r="D222" s="27" t="str">
        <f>VLOOKUP(C222,[2]DATOS!$B$6:$D$1004,3,FALSE)</f>
        <v>CMPC-A-EMP-CMPC-DC-KYNDRYL-RESP-10000065131</v>
      </c>
      <c r="E222" s="27" t="str">
        <f>VLOOKUP(C222,[2]DATOS!$B$6:$E$1004,4,FALSE)</f>
        <v>10.228.66.6</v>
      </c>
      <c r="F222" s="27" t="str">
        <f>VLOOKUP(C222,[2]DATOS!$B$6:$P$1002,15,FALSE)</f>
        <v>EMPRESAS CMPC</v>
      </c>
      <c r="G222" s="27" t="s">
        <v>759</v>
      </c>
      <c r="H222" s="25" t="s">
        <v>1139</v>
      </c>
      <c r="I222" s="28" t="s">
        <v>834</v>
      </c>
      <c r="J222" s="28" t="s">
        <v>14</v>
      </c>
      <c r="K222" s="29">
        <v>45985.506944444445</v>
      </c>
      <c r="L222" s="30">
        <f t="shared" si="7"/>
        <v>5.2181134259299142</v>
      </c>
    </row>
    <row r="223" spans="1:12" s="25" customFormat="1" x14ac:dyDescent="0.25">
      <c r="A223" s="24">
        <v>45981.293865740743</v>
      </c>
      <c r="B223" s="25" t="s">
        <v>1123</v>
      </c>
      <c r="C223" s="26">
        <v>10000022240</v>
      </c>
      <c r="D223" s="27" t="str">
        <f>VLOOKUP(C223,[2]DATOS!$B$6:$D$1004,3,FALSE)</f>
        <v>CMPC-C-CEL-PACIFICO-RESP-10000022240</v>
      </c>
      <c r="E223" s="27" t="str">
        <f>VLOOKUP(C223,[2]DATOS!$B$6:$E$1004,4,FALSE)</f>
        <v>10.221.19.66</v>
      </c>
      <c r="F223" s="27" t="str">
        <f>VLOOKUP(C223,[2]DATOS!$B$6:$P$1002,15,FALSE)</f>
        <v>PULP</v>
      </c>
      <c r="G223" s="27" t="s">
        <v>759</v>
      </c>
      <c r="H223" s="25" t="s">
        <v>1124</v>
      </c>
      <c r="I223" s="28" t="s">
        <v>974</v>
      </c>
      <c r="J223" s="28" t="s">
        <v>14</v>
      </c>
      <c r="K223" s="29">
        <v>45981.29583333333</v>
      </c>
      <c r="L223" s="30">
        <f t="shared" si="7"/>
        <v>1.9675925868796185E-3</v>
      </c>
    </row>
    <row r="224" spans="1:12" s="25" customFormat="1" x14ac:dyDescent="0.25">
      <c r="A224" s="24">
        <v>45982.473576388889</v>
      </c>
      <c r="B224" s="25" t="s">
        <v>1127</v>
      </c>
      <c r="C224" s="26">
        <v>7808270001</v>
      </c>
      <c r="D224" s="27" t="str">
        <f>VLOOKUP(C224,[2]DATOS!$B$6:$D$1004,3,FALSE)</f>
        <v>CMPC-D-CEL-FORMIN-CANETE-UNIC-7808270001</v>
      </c>
      <c r="E224" s="27" t="str">
        <f>VLOOKUP(C224,[2]DATOS!$B$6:$E$1004,4,FALSE)</f>
        <v>10.220.168.158</v>
      </c>
      <c r="F224" s="27" t="str">
        <f>VLOOKUP(C224,[2]DATOS!$B$6:$P$1002,15,FALSE)</f>
        <v>FORESTAL</v>
      </c>
      <c r="G224" s="27" t="s">
        <v>759</v>
      </c>
      <c r="H224" s="25" t="s">
        <v>1128</v>
      </c>
      <c r="I224" s="28" t="s">
        <v>834</v>
      </c>
      <c r="J224" s="28" t="s">
        <v>14</v>
      </c>
      <c r="K224" s="29">
        <v>45982.720138888886</v>
      </c>
      <c r="L224" s="30">
        <f t="shared" si="7"/>
        <v>0.24656249999679858</v>
      </c>
    </row>
    <row r="225" spans="1:12" s="25" customFormat="1" x14ac:dyDescent="0.25">
      <c r="A225" s="24">
        <v>45982.573634259257</v>
      </c>
      <c r="B225" s="25" t="s">
        <v>1125</v>
      </c>
      <c r="C225" s="26">
        <v>6999100001</v>
      </c>
      <c r="D225" s="27" t="str">
        <f>VLOOKUP(C225,[2]DATOS!$B$6:$D$1004,3,FALSE)</f>
        <v>CMPC-D-BIO-SOREPA-PUDAHUEL-PRIN-6999100001-RESP-GTD</v>
      </c>
      <c r="E225" s="27" t="str">
        <f>VLOOKUP(C225,[2]DATOS!$B$6:$E$1004,4,FALSE)</f>
        <v>10.228.65.34</v>
      </c>
      <c r="F225" s="27" t="str">
        <f>VLOOKUP(C225,[2]DATOS!$B$6:$P$1002,15,FALSE)</f>
        <v>CORRUGADO</v>
      </c>
      <c r="G225" s="27" t="s">
        <v>759</v>
      </c>
      <c r="H225" s="25" t="s">
        <v>1126</v>
      </c>
      <c r="I225" s="28" t="s">
        <v>836</v>
      </c>
      <c r="J225" s="28" t="s">
        <v>14</v>
      </c>
      <c r="K225" s="29">
        <v>45982.6</v>
      </c>
      <c r="L225" s="30">
        <f t="shared" si="7"/>
        <v>2.6365740741312038E-2</v>
      </c>
    </row>
    <row r="226" spans="1:12" s="25" customFormat="1" x14ac:dyDescent="0.25">
      <c r="A226" s="24">
        <v>45982.581250000003</v>
      </c>
      <c r="B226" s="25" t="s">
        <v>4</v>
      </c>
      <c r="C226" s="26">
        <v>7853300001</v>
      </c>
      <c r="D226" s="27" t="str">
        <f>VLOOKUP(C226,[2]DATOS!$B$6:$D$1004,3,FALSE)</f>
        <v>CMPC-C-CEL-MADERAS-PLYWOOD-PRIN-7853300001-RESP-GTD</v>
      </c>
      <c r="E226" s="27" t="str">
        <f>VLOOKUP(C226,[2]DATOS!$B$6:$E$1004,4,FALSE)</f>
        <v>10.236.63.226</v>
      </c>
      <c r="F226" s="27" t="str">
        <f>VLOOKUP(C226,[2]DATOS!$B$6:$P$1002,15,FALSE)</f>
        <v>MADERAS</v>
      </c>
      <c r="G226" s="27" t="s">
        <v>759</v>
      </c>
      <c r="H226" s="25" t="s">
        <v>1090</v>
      </c>
      <c r="I226" s="28" t="s">
        <v>993</v>
      </c>
      <c r="J226" s="28" t="s">
        <v>835</v>
      </c>
      <c r="K226" s="29">
        <v>45982.59097222222</v>
      </c>
      <c r="L226" s="30">
        <f t="shared" si="7"/>
        <v>9.7222222175332718E-3</v>
      </c>
    </row>
    <row r="227" spans="1:12" s="25" customFormat="1" x14ac:dyDescent="0.25">
      <c r="A227" s="24">
        <v>45983.798263888886</v>
      </c>
      <c r="B227" s="25" t="s">
        <v>1129</v>
      </c>
      <c r="C227" s="26">
        <v>10000000824</v>
      </c>
      <c r="D227" s="27" t="str">
        <f>VLOOKUP(C227,[2]DATOS!$B$6:$D$1004,3,FALSE)</f>
        <v>CMPC-D-CEL-MADERAS-BUCALEMU-PRIN-10000000824-RESP-GTD</v>
      </c>
      <c r="E227" s="27" t="str">
        <f>VLOOKUP(C227,[2]DATOS!$B$6:$E$1004,4,FALSE)</f>
        <v>10.228.65.30</v>
      </c>
      <c r="F227" s="27" t="str">
        <f>VLOOKUP(C227,[2]DATOS!$B$6:$P$1002,15,FALSE)</f>
        <v>MADERAS</v>
      </c>
      <c r="G227" s="27" t="s">
        <v>759</v>
      </c>
      <c r="H227" s="25" t="s">
        <v>1130</v>
      </c>
      <c r="I227" s="28" t="s">
        <v>974</v>
      </c>
      <c r="J227" s="28" t="s">
        <v>14</v>
      </c>
      <c r="K227" s="29">
        <v>45983.810416666667</v>
      </c>
      <c r="L227" s="30">
        <f t="shared" si="7"/>
        <v>1.2152777781011537E-2</v>
      </c>
    </row>
    <row r="228" spans="1:12" s="25" customFormat="1" x14ac:dyDescent="0.25">
      <c r="A228" s="24">
        <v>45984.261886574073</v>
      </c>
      <c r="B228" s="25" t="s">
        <v>1131</v>
      </c>
      <c r="C228" s="26">
        <v>10000024475</v>
      </c>
      <c r="D228" s="27" t="str">
        <f>VLOOKUP(C228,[2]DATOS!$B$6:$D$1004,3,FALSE)</f>
        <v>CMPC-D-BIO-SOREPA-PTOMONTT-PRIN-10000024475-RESP-GTD</v>
      </c>
      <c r="E228" s="27" t="str">
        <f>VLOOKUP(C228,[2]DATOS!$B$6:$E$1004,4,FALSE)</f>
        <v>10.220.168.170</v>
      </c>
      <c r="F228" s="27" t="str">
        <f>VLOOKUP(C228,[2]DATOS!$B$6:$P$1002,15,FALSE)</f>
        <v>CORRUGADO</v>
      </c>
      <c r="G228" s="27" t="s">
        <v>759</v>
      </c>
      <c r="H228" s="25" t="s">
        <v>1132</v>
      </c>
      <c r="I228" s="28" t="s">
        <v>834</v>
      </c>
      <c r="J228" s="28" t="s">
        <v>14</v>
      </c>
      <c r="K228" s="29">
        <v>45984.552777777775</v>
      </c>
      <c r="L228" s="30">
        <f t="shared" si="7"/>
        <v>0.29089120370190358</v>
      </c>
    </row>
    <row r="229" spans="1:12" s="25" customFormat="1" x14ac:dyDescent="0.25">
      <c r="A229" s="24">
        <v>45984.495567129627</v>
      </c>
      <c r="B229" s="25" t="s">
        <v>1133</v>
      </c>
      <c r="C229" s="26">
        <v>10000057950</v>
      </c>
      <c r="D229" s="27" t="str">
        <f>VLOOKUP(C229,[2]DATOS!$B$6:$D$1004,3,FALSE)</f>
        <v>CMPC-D-BIO-ENVASES-ROBLE-ALTO-BUIN-PRIN-10000057950-RESP-GTD</v>
      </c>
      <c r="E229" s="27" t="str">
        <f>VLOOKUP(C229,[2]DATOS!$B$6:$E$1004,4,FALSE)</f>
        <v>10.228.65.46</v>
      </c>
      <c r="F229" s="27" t="str">
        <f>VLOOKUP(C229,[2]DATOS!$B$6:$P$1002,15,FALSE)</f>
        <v>CORRUGADO</v>
      </c>
      <c r="G229" s="27" t="s">
        <v>759</v>
      </c>
      <c r="H229" s="25" t="s">
        <v>1134</v>
      </c>
      <c r="I229" s="28" t="s">
        <v>833</v>
      </c>
      <c r="J229" s="28" t="s">
        <v>835</v>
      </c>
      <c r="K229" s="29">
        <v>45984.761805555558</v>
      </c>
      <c r="L229" s="30">
        <f t="shared" si="7"/>
        <v>0.26623842593107838</v>
      </c>
    </row>
    <row r="230" spans="1:12" s="25" customFormat="1" x14ac:dyDescent="0.25">
      <c r="A230" s="24">
        <v>45984.690567129626</v>
      </c>
      <c r="B230" s="25" t="s">
        <v>1135</v>
      </c>
      <c r="C230" s="26">
        <v>6963530001</v>
      </c>
      <c r="D230" s="27" t="str">
        <f>VLOOKUP(C230,[2]DATOS!$B$6:$D$1004,3,FALSE)</f>
        <v>CMPC-D-CEL-FORMIN-ANGOL-UNIC-6963530001</v>
      </c>
      <c r="E230" s="27" t="str">
        <f>VLOOKUP(C230,[2]DATOS!$B$6:$E$1004,4,FALSE)</f>
        <v>10.220.168.246</v>
      </c>
      <c r="F230" s="27" t="str">
        <f>VLOOKUP(C230,[2]DATOS!$B$6:$P$1002,15,FALSE)</f>
        <v>FORESTAL</v>
      </c>
      <c r="G230" s="27" t="s">
        <v>759</v>
      </c>
      <c r="H230" s="25" t="s">
        <v>1136</v>
      </c>
      <c r="I230" s="28" t="s">
        <v>834</v>
      </c>
      <c r="J230" s="28" t="s">
        <v>14</v>
      </c>
      <c r="K230" s="29">
        <v>45984.85</v>
      </c>
      <c r="L230" s="30">
        <f t="shared" si="7"/>
        <v>0.15943287037225673</v>
      </c>
    </row>
    <row r="231" spans="1:12" s="25" customFormat="1" x14ac:dyDescent="0.25">
      <c r="A231" s="24">
        <v>45985.397581018522</v>
      </c>
      <c r="B231" s="25" t="s">
        <v>1137</v>
      </c>
      <c r="C231" s="26">
        <v>10000379897</v>
      </c>
      <c r="D231" s="27" t="str">
        <f>VLOOKUP(C231,[2]DATOS!$B$6:$D$1004,3,FALSE)</f>
        <v>CMPC-C-BIO-ENVASES-ROBLE-ALTO-TIL-TIL-PRIN-10000379897-RESP-GTD</v>
      </c>
      <c r="E231" s="27" t="str">
        <f>VLOOKUP(C231,[2]DATOS!$B$6:$E$1004,4,FALSE)</f>
        <v>10.234.95.30</v>
      </c>
      <c r="F231" s="27" t="str">
        <f>VLOOKUP(C231,[2]DATOS!$B$6:$P$1002,15,FALSE)</f>
        <v>CORRUGADO</v>
      </c>
      <c r="G231" s="27" t="s">
        <v>759</v>
      </c>
      <c r="H231" s="25" t="s">
        <v>1138</v>
      </c>
      <c r="I231" s="28" t="s">
        <v>834</v>
      </c>
      <c r="J231" s="28" t="s">
        <v>14</v>
      </c>
      <c r="K231" s="29">
        <v>45985.645833333336</v>
      </c>
      <c r="L231" s="30">
        <f t="shared" si="7"/>
        <v>0.24825231481372612</v>
      </c>
    </row>
    <row r="232" spans="1:12" s="25" customFormat="1" x14ac:dyDescent="0.25">
      <c r="A232" s="24">
        <v>45986.01840277778</v>
      </c>
      <c r="B232" s="25" t="s">
        <v>1140</v>
      </c>
      <c r="C232" s="26">
        <v>6963530001</v>
      </c>
      <c r="D232" s="27" t="str">
        <f>VLOOKUP(C232,[2]DATOS!$B$6:$D$1004,3,FALSE)</f>
        <v>CMPC-D-CEL-FORMIN-ANGOL-UNIC-6963530001</v>
      </c>
      <c r="E232" s="27" t="str">
        <f>VLOOKUP(C232,[2]DATOS!$B$6:$E$1004,4,FALSE)</f>
        <v>10.220.168.246</v>
      </c>
      <c r="F232" s="27" t="str">
        <f>VLOOKUP(C232,[2]DATOS!$B$6:$P$1002,15,FALSE)</f>
        <v>FORESTAL</v>
      </c>
      <c r="G232" s="27" t="s">
        <v>759</v>
      </c>
      <c r="H232" s="25" t="s">
        <v>1141</v>
      </c>
      <c r="I232" s="28" t="s">
        <v>834</v>
      </c>
      <c r="J232" s="28" t="s">
        <v>14</v>
      </c>
      <c r="K232" s="29">
        <v>45986.302777777775</v>
      </c>
      <c r="L232" s="30">
        <f t="shared" si="7"/>
        <v>0.28437499999563443</v>
      </c>
    </row>
    <row r="233" spans="1:12" s="25" customFormat="1" x14ac:dyDescent="0.25">
      <c r="A233" s="24">
        <v>45987.159236111111</v>
      </c>
      <c r="B233" s="25" t="s">
        <v>1142</v>
      </c>
      <c r="C233" s="26">
        <v>10000000824</v>
      </c>
      <c r="D233" s="27" t="str">
        <f>VLOOKUP(C233,[2]DATOS!$B$6:$D$1004,3,FALSE)</f>
        <v>CMPC-D-CEL-MADERAS-BUCALEMU-PRIN-10000000824-RESP-GTD</v>
      </c>
      <c r="E233" s="27" t="str">
        <f>VLOOKUP(C233,[2]DATOS!$B$6:$E$1004,4,FALSE)</f>
        <v>10.228.65.30</v>
      </c>
      <c r="F233" s="27" t="str">
        <f>VLOOKUP(C233,[2]DATOS!$B$6:$P$1002,15,FALSE)</f>
        <v>MADERAS</v>
      </c>
      <c r="G233" s="27" t="s">
        <v>759</v>
      </c>
      <c r="H233" s="25" t="s">
        <v>1143</v>
      </c>
      <c r="I233" s="28" t="s">
        <v>974</v>
      </c>
      <c r="J233" s="28" t="s">
        <v>14</v>
      </c>
      <c r="K233" s="29">
        <v>45987.185416666667</v>
      </c>
      <c r="L233" s="30">
        <f t="shared" si="7"/>
        <v>2.6180555556493346E-2</v>
      </c>
    </row>
    <row r="234" spans="1:12" s="25" customFormat="1" x14ac:dyDescent="0.25">
      <c r="A234" s="24">
        <v>45987.160370370373</v>
      </c>
      <c r="B234" s="25" t="s">
        <v>1145</v>
      </c>
      <c r="C234" s="26">
        <v>7853300001</v>
      </c>
      <c r="D234" s="27" t="str">
        <f>VLOOKUP(C234,[2]DATOS!$B$6:$D$1004,3,FALSE)</f>
        <v>CMPC-C-CEL-MADERAS-PLYWOOD-PRIN-7853300001-RESP-GTD</v>
      </c>
      <c r="E234" s="27" t="str">
        <f>VLOOKUP(C234,[2]DATOS!$B$6:$E$1004,4,FALSE)</f>
        <v>10.236.63.226</v>
      </c>
      <c r="F234" s="27" t="str">
        <f>VLOOKUP(C234,[2]DATOS!$B$6:$P$1002,15,FALSE)</f>
        <v>MADERAS</v>
      </c>
      <c r="G234" s="27" t="s">
        <v>759</v>
      </c>
      <c r="H234" s="25" t="s">
        <v>1146</v>
      </c>
      <c r="I234" s="28" t="s">
        <v>974</v>
      </c>
      <c r="J234" s="28" t="s">
        <v>14</v>
      </c>
      <c r="K234" s="29">
        <v>45987.185416666667</v>
      </c>
      <c r="L234" s="30">
        <f t="shared" si="7"/>
        <v>2.5046296294021886E-2</v>
      </c>
    </row>
    <row r="235" spans="1:12" s="25" customFormat="1" x14ac:dyDescent="0.25">
      <c r="A235" s="24">
        <v>45987.160370370373</v>
      </c>
      <c r="B235" s="25" t="s">
        <v>1148</v>
      </c>
      <c r="C235" s="26">
        <v>10000000853</v>
      </c>
      <c r="D235" s="27" t="str">
        <f>VLOOKUP(C235,[2]DATOS!$B$6:$D$1004,3,FALSE)</f>
        <v>CMPC-D-CEL-MADERAS-MULCHEN-PRIN-10000000853-RESP-GTD</v>
      </c>
      <c r="E235" s="27" t="str">
        <f>VLOOKUP(C235,[2]DATOS!$B$6:$E$1004,4,FALSE)</f>
        <v>10.228.65.62</v>
      </c>
      <c r="F235" s="27" t="str">
        <f>VLOOKUP(C235,[2]DATOS!$B$6:$P$1002,15,FALSE)</f>
        <v>MADERAS</v>
      </c>
      <c r="G235" s="27" t="s">
        <v>759</v>
      </c>
      <c r="H235" s="25" t="s">
        <v>1147</v>
      </c>
      <c r="I235" s="28" t="s">
        <v>974</v>
      </c>
      <c r="J235" s="28" t="s">
        <v>14</v>
      </c>
      <c r="K235" s="29">
        <v>45987.185416666667</v>
      </c>
      <c r="L235" s="30">
        <f t="shared" si="7"/>
        <v>2.5046296294021886E-2</v>
      </c>
    </row>
    <row r="236" spans="1:12" s="25" customFormat="1" x14ac:dyDescent="0.25">
      <c r="A236" s="24">
        <v>45987.160925925928</v>
      </c>
      <c r="B236" s="25" t="s">
        <v>1144</v>
      </c>
      <c r="C236" s="26">
        <v>10000000822</v>
      </c>
      <c r="D236" s="27" t="str">
        <f>VLOOKUP(C236,[2]DATOS!$B$6:$D$1004,3,FALSE)</f>
        <v>CMPC-C-CEL-MADERAS-PLANTA-CLEAR-PRIN-10000000822-RESP-GTD</v>
      </c>
      <c r="E236" s="27" t="str">
        <f>VLOOKUP(C236,[2]DATOS!$B$6:$E$1004,4,FALSE)</f>
        <v>10.228.65.66</v>
      </c>
      <c r="F236" s="27" t="str">
        <f>VLOOKUP(C236,[2]DATOS!$B$6:$P$1002,15,FALSE)</f>
        <v>MADERAS</v>
      </c>
      <c r="G236" s="27" t="s">
        <v>759</v>
      </c>
      <c r="H236" s="25" t="s">
        <v>1143</v>
      </c>
      <c r="I236" s="28" t="s">
        <v>974</v>
      </c>
      <c r="J236" s="28" t="s">
        <v>14</v>
      </c>
      <c r="K236" s="29">
        <v>45987.185416666667</v>
      </c>
      <c r="L236" s="30">
        <f t="shared" si="7"/>
        <v>2.4490740739565808E-2</v>
      </c>
    </row>
    <row r="237" spans="1:12" s="25" customFormat="1" x14ac:dyDescent="0.25">
      <c r="A237" s="24">
        <v>45987.652986111112</v>
      </c>
      <c r="B237" s="25" t="s">
        <v>1149</v>
      </c>
      <c r="C237" s="26">
        <v>10000004781</v>
      </c>
      <c r="D237" s="27" t="str">
        <f>VLOOKUP(C237,[2]DATOS!$B$6:$D$1004,3,FALSE)</f>
        <v>CMPC-D-TERCEROS-SERFOVAL-UNIC-10000004781</v>
      </c>
      <c r="E237" s="27" t="str">
        <f>VLOOKUP(C237,[2]DATOS!$B$6:$E$1004,4,FALSE)</f>
        <v>10.220.113.98</v>
      </c>
      <c r="F237" s="27" t="str">
        <f>VLOOKUP(C237,[2]DATOS!$B$6:$P$1002,15,FALSE)</f>
        <v>FORESTAL</v>
      </c>
      <c r="G237" s="27" t="s">
        <v>759</v>
      </c>
      <c r="H237" s="25" t="s">
        <v>1150</v>
      </c>
      <c r="I237" s="28" t="s">
        <v>975</v>
      </c>
      <c r="J237" s="28" t="s">
        <v>835</v>
      </c>
      <c r="K237" s="29">
        <v>45987.665972222225</v>
      </c>
      <c r="L237" s="30">
        <f t="shared" si="7"/>
        <v>1.2986111112695653E-2</v>
      </c>
    </row>
    <row r="238" spans="1:12" s="25" customFormat="1" x14ac:dyDescent="0.25">
      <c r="A238" s="24">
        <v>45988.734930555554</v>
      </c>
      <c r="B238" s="25" t="s">
        <v>1151</v>
      </c>
      <c r="C238" s="26">
        <v>10000573525</v>
      </c>
      <c r="D238" s="27" t="e">
        <f>VLOOKUP(C238,[2]DATOS!$B$6:$D$1004,3,FALSE)</f>
        <v>#N/A</v>
      </c>
      <c r="E238" s="27" t="e">
        <f>VLOOKUP(C238,[2]DATOS!$B$6:$E$1004,4,FALSE)</f>
        <v>#N/A</v>
      </c>
      <c r="F238" s="27" t="e">
        <f>VLOOKUP(C238,[2]DATOS!$B$6:$P$1002,15,FALSE)</f>
        <v>#N/A</v>
      </c>
      <c r="G238" s="27" t="s">
        <v>1152</v>
      </c>
      <c r="H238" s="25" t="s">
        <v>1153</v>
      </c>
      <c r="I238" s="28" t="s">
        <v>975</v>
      </c>
      <c r="J238" s="28" t="s">
        <v>835</v>
      </c>
      <c r="K238" s="29">
        <v>45988.786111111112</v>
      </c>
      <c r="L238" s="30">
        <f t="shared" si="7"/>
        <v>5.1180555557948537E-2</v>
      </c>
    </row>
    <row r="239" spans="1:12" s="25" customFormat="1" x14ac:dyDescent="0.25">
      <c r="A239" s="24">
        <v>45990.874594907407</v>
      </c>
      <c r="B239" s="25" t="s">
        <v>1158</v>
      </c>
      <c r="C239" s="26">
        <v>10000000824</v>
      </c>
      <c r="D239" s="27" t="str">
        <f>VLOOKUP(C239,[2]DATOS!$B$6:$D$1004,3,FALSE)</f>
        <v>CMPC-D-CEL-MADERAS-BUCALEMU-PRIN-10000000824-RESP-GTD</v>
      </c>
      <c r="E239" s="27" t="str">
        <f>VLOOKUP(C239,[2]DATOS!$B$6:$E$1004,4,FALSE)</f>
        <v>10.228.65.30</v>
      </c>
      <c r="F239" s="27" t="str">
        <f>VLOOKUP(C239,[2]DATOS!$B$6:$P$1002,15,FALSE)</f>
        <v>MADERAS</v>
      </c>
      <c r="G239" s="27" t="s">
        <v>759</v>
      </c>
      <c r="H239" s="25" t="s">
        <v>1160</v>
      </c>
      <c r="I239" s="28" t="s">
        <v>834</v>
      </c>
      <c r="J239" s="28" t="s">
        <v>14</v>
      </c>
      <c r="K239" s="29">
        <v>45991.158379629633</v>
      </c>
      <c r="L239" s="30">
        <f t="shared" si="7"/>
        <v>0.28378472222539131</v>
      </c>
    </row>
    <row r="240" spans="1:12" s="25" customFormat="1" x14ac:dyDescent="0.25">
      <c r="A240" s="24">
        <v>45990.937905092593</v>
      </c>
      <c r="B240" s="25" t="s">
        <v>1157</v>
      </c>
      <c r="C240" s="26">
        <v>10000022240</v>
      </c>
      <c r="D240" s="27" t="str">
        <f>VLOOKUP(C240,[2]DATOS!$B$6:$D$1004,3,FALSE)</f>
        <v>CMPC-C-CEL-PACIFICO-RESP-10000022240</v>
      </c>
      <c r="E240" s="27" t="str">
        <f>VLOOKUP(C240,[2]DATOS!$B$6:$E$1004,4,FALSE)</f>
        <v>10.221.19.66</v>
      </c>
      <c r="F240" s="27" t="str">
        <f>VLOOKUP(C240,[2]DATOS!$B$6:$P$1002,15,FALSE)</f>
        <v>PULP</v>
      </c>
      <c r="G240" s="27" t="s">
        <v>759</v>
      </c>
      <c r="H240" s="25" t="s">
        <v>1160</v>
      </c>
      <c r="I240" s="28" t="s">
        <v>834</v>
      </c>
      <c r="J240" s="28" t="s">
        <v>14</v>
      </c>
      <c r="K240" s="29">
        <v>45991.158379629633</v>
      </c>
      <c r="L240" s="30">
        <f t="shared" si="7"/>
        <v>0.22047453703999054</v>
      </c>
    </row>
    <row r="241" spans="1:12" s="25" customFormat="1" x14ac:dyDescent="0.25">
      <c r="A241" s="24">
        <v>45991.04959490741</v>
      </c>
      <c r="B241" s="25" t="s">
        <v>1154</v>
      </c>
      <c r="C241" s="26">
        <v>10000002550</v>
      </c>
      <c r="D241" s="27" t="str">
        <f>VLOOKUP(C241,[2]DATOS!$B$6:$D$1004,3,FALSE)</f>
        <v>CMPC-D-CEL-MADERAS-PAILLIHUE-VIVERO-CDOUGLAS-UNIC-10000002550</v>
      </c>
      <c r="E241" s="27" t="str">
        <f>VLOOKUP(C241,[2]DATOS!$B$6:$E$1004,4,FALSE)</f>
        <v>10.228.65.90</v>
      </c>
      <c r="F241" s="27" t="str">
        <f>VLOOKUP(C241,[2]DATOS!$B$6:$P$1002,15,FALSE)</f>
        <v>MADERAS</v>
      </c>
      <c r="G241" s="27" t="s">
        <v>759</v>
      </c>
      <c r="H241" s="25" t="s">
        <v>1160</v>
      </c>
      <c r="I241" s="28" t="s">
        <v>834</v>
      </c>
      <c r="J241" s="28" t="s">
        <v>14</v>
      </c>
      <c r="K241" s="29">
        <v>45991.158379629633</v>
      </c>
      <c r="L241" s="30">
        <f t="shared" si="7"/>
        <v>0.10878472222248092</v>
      </c>
    </row>
    <row r="242" spans="1:12" s="25" customFormat="1" x14ac:dyDescent="0.25">
      <c r="A242" s="24">
        <v>45991.051400462966</v>
      </c>
      <c r="B242" s="25" t="s">
        <v>1155</v>
      </c>
      <c r="C242" s="26">
        <v>10000022234</v>
      </c>
      <c r="D242" s="27" t="str">
        <f>VLOOKUP(C242,[2]DATOS!$B$6:$D$1004,3,FALSE)</f>
        <v>CMPC-C-CEL-LAJA-PRIN-10000022234</v>
      </c>
      <c r="E242" s="27" t="str">
        <f>VLOOKUP(C242,[2]DATOS!$B$6:$E$1004,4,FALSE)</f>
        <v>10.221.19.138</v>
      </c>
      <c r="F242" s="27" t="str">
        <f>VLOOKUP(C242,[2]DATOS!$B$6:$P$1002,15,FALSE)</f>
        <v>CELULOSA</v>
      </c>
      <c r="G242" s="27" t="s">
        <v>759</v>
      </c>
      <c r="H242" s="25" t="s">
        <v>1160</v>
      </c>
      <c r="I242" s="28" t="s">
        <v>834</v>
      </c>
      <c r="J242" s="28" t="s">
        <v>14</v>
      </c>
      <c r="K242" s="29">
        <v>45991.158379629633</v>
      </c>
      <c r="L242" s="30">
        <f t="shared" si="7"/>
        <v>0.10697916666686069</v>
      </c>
    </row>
    <row r="243" spans="1:12" s="25" customFormat="1" x14ac:dyDescent="0.25">
      <c r="A243" s="24">
        <v>45991.05296296296</v>
      </c>
      <c r="B243" s="25" t="s">
        <v>1156</v>
      </c>
      <c r="C243" s="26">
        <v>10000000822</v>
      </c>
      <c r="D243" s="27" t="str">
        <f>VLOOKUP(C243,[2]DATOS!$B$6:$D$1004,3,FALSE)</f>
        <v>CMPC-C-CEL-MADERAS-PLANTA-CLEAR-PRIN-10000000822-RESP-GTD</v>
      </c>
      <c r="E243" s="27" t="str">
        <f>VLOOKUP(C243,[2]DATOS!$B$6:$E$1004,4,FALSE)</f>
        <v>10.228.65.66</v>
      </c>
      <c r="F243" s="27" t="str">
        <f>VLOOKUP(C243,[2]DATOS!$B$6:$P$1002,15,FALSE)</f>
        <v>MADERAS</v>
      </c>
      <c r="G243" s="27" t="s">
        <v>759</v>
      </c>
      <c r="H243" s="25" t="s">
        <v>1160</v>
      </c>
      <c r="I243" s="28" t="s">
        <v>834</v>
      </c>
      <c r="J243" s="28" t="s">
        <v>14</v>
      </c>
      <c r="K243" s="29">
        <v>45991.158379629633</v>
      </c>
      <c r="L243" s="30">
        <f t="shared" si="7"/>
        <v>0.10541666667268146</v>
      </c>
    </row>
    <row r="244" spans="1:12" s="25" customFormat="1" x14ac:dyDescent="0.25">
      <c r="A244" s="24">
        <v>45991.054537037038</v>
      </c>
      <c r="B244" s="25" t="s">
        <v>1159</v>
      </c>
      <c r="C244" s="26">
        <v>10000396994</v>
      </c>
      <c r="D244" s="27" t="str">
        <f>VLOOKUP(C244,[2]DATOS!$B$6:$D$1004,3,FALSE)</f>
        <v>CMPC-B-CEL-MADERAS-LOS-ANGELES-ED-CORP-PRIN-10000396994-RESP-GTD</v>
      </c>
      <c r="E244" s="27" t="str">
        <f>VLOOKUP(C244,[2]DATOS!$B$6:$E$1004,4,FALSE)</f>
        <v>10.234.139.30</v>
      </c>
      <c r="F244" s="27" t="str">
        <f>VLOOKUP(C244,[2]DATOS!$B$6:$P$1002,15,FALSE)</f>
        <v>FORESTAL</v>
      </c>
      <c r="G244" s="27" t="s">
        <v>759</v>
      </c>
      <c r="H244" s="25" t="s">
        <v>1160</v>
      </c>
      <c r="I244" s="28" t="s">
        <v>834</v>
      </c>
      <c r="J244" s="28" t="s">
        <v>14</v>
      </c>
      <c r="K244" s="29">
        <v>45991.158379629633</v>
      </c>
      <c r="L244" s="30">
        <f t="shared" si="7"/>
        <v>0.10384259259444661</v>
      </c>
    </row>
    <row r="245" spans="1:12" s="25" customFormat="1" x14ac:dyDescent="0.25">
      <c r="A245" s="24">
        <v>45992.516342592593</v>
      </c>
      <c r="B245" s="25" t="s">
        <v>4</v>
      </c>
      <c r="C245" s="26">
        <v>10000344647</v>
      </c>
      <c r="D245" s="27" t="str">
        <f>VLOOKUP(C245,[2]DATOS!$B$6:$D$1004,3,FALSE)</f>
        <v>CMPC-D-CEL-FORMIN-SAN-ANTONIO-CAMPAMENTO-UNIC-10000344647</v>
      </c>
      <c r="E245" s="27" t="str">
        <f>VLOOKUP(C245,[2]DATOS!$B$6:$E$1004,4,FALSE)</f>
        <v>10.234.72.254</v>
      </c>
      <c r="F245" s="27" t="str">
        <f>VLOOKUP(C245,[2]DATOS!$B$6:$P$1002,15,FALSE)</f>
        <v>FORESTAL</v>
      </c>
      <c r="G245" s="27" t="s">
        <v>759</v>
      </c>
      <c r="H245" s="25" t="s">
        <v>1161</v>
      </c>
      <c r="I245" s="28" t="s">
        <v>993</v>
      </c>
      <c r="J245" s="28" t="s">
        <v>835</v>
      </c>
      <c r="K245" s="29">
        <v>45992.536157407405</v>
      </c>
      <c r="L245" s="30">
        <f t="shared" si="7"/>
        <v>1.9814814811979886E-2</v>
      </c>
    </row>
    <row r="246" spans="1:12" s="25" customFormat="1" x14ac:dyDescent="0.25">
      <c r="A246" s="24">
        <v>45993.847604166665</v>
      </c>
      <c r="B246" s="25" t="s">
        <v>1162</v>
      </c>
      <c r="C246" s="26">
        <v>10000000824</v>
      </c>
      <c r="D246" s="27" t="str">
        <f>VLOOKUP(C246,[2]DATOS!$B$6:$D$1004,3,FALSE)</f>
        <v>CMPC-D-CEL-MADERAS-BUCALEMU-PRIN-10000000824-RESP-GTD</v>
      </c>
      <c r="E246" s="27" t="str">
        <f>VLOOKUP(C246,[2]DATOS!$B$6:$E$1004,4,FALSE)</f>
        <v>10.228.65.30</v>
      </c>
      <c r="F246" s="27" t="str">
        <f>VLOOKUP(C246,[2]DATOS!$B$6:$P$1002,15,FALSE)</f>
        <v>MADERAS</v>
      </c>
      <c r="G246" s="27" t="s">
        <v>759</v>
      </c>
      <c r="H246" s="25" t="s">
        <v>1163</v>
      </c>
      <c r="I246" s="28" t="s">
        <v>974</v>
      </c>
      <c r="J246" s="28" t="s">
        <v>14</v>
      </c>
      <c r="K246" s="29">
        <v>45994.387546296297</v>
      </c>
      <c r="L246" s="30">
        <f t="shared" si="7"/>
        <v>0.53994212963152677</v>
      </c>
    </row>
    <row r="247" spans="1:12" s="25" customFormat="1" x14ac:dyDescent="0.25">
      <c r="A247" s="24">
        <v>45995.877465277779</v>
      </c>
      <c r="B247" s="25" t="s">
        <v>1164</v>
      </c>
      <c r="C247" s="26">
        <v>10000304371</v>
      </c>
      <c r="D247" s="27" t="str">
        <f>VLOOKUP(C247,[2]DATOS!$B$6:$D$1004,3,FALSE)</f>
        <v>CMPC-A-EMP-CMPC-DC-CENTRAL-CDLV-RESP-10000304371</v>
      </c>
      <c r="E247" s="27" t="str">
        <f>VLOOKUP(C247,[2]DATOS!$B$6:$E$1004,4,FALSE)</f>
        <v>10.233.16.66</v>
      </c>
      <c r="F247" s="27" t="str">
        <f>VLOOKUP(C247,[2]DATOS!$B$6:$P$1002,15,FALSE)</f>
        <v>EMPRESAS CMPC</v>
      </c>
      <c r="G247" s="27" t="s">
        <v>759</v>
      </c>
      <c r="H247" s="25" t="s">
        <v>1165</v>
      </c>
      <c r="I247" s="28" t="s">
        <v>974</v>
      </c>
      <c r="J247" s="28" t="s">
        <v>14</v>
      </c>
      <c r="K247" s="29">
        <v>45996.507685185185</v>
      </c>
      <c r="L247" s="30">
        <f t="shared" si="7"/>
        <v>0.63021990740526235</v>
      </c>
    </row>
    <row r="248" spans="1:12" s="25" customFormat="1" x14ac:dyDescent="0.25">
      <c r="A248" s="24">
        <v>45997.369745370372</v>
      </c>
      <c r="B248" s="25" t="s">
        <v>1166</v>
      </c>
      <c r="C248" s="26">
        <v>7831420001</v>
      </c>
      <c r="D248" s="27" t="str">
        <f>VLOOKUP(C248,[2]DATOS!$B$6:$D$1004,3,FALSE)</f>
        <v>CMPC-D-CEL-MADERAS-CORONEL-PRIN-7831420001-RESP-GTD</v>
      </c>
      <c r="E248" s="27" t="str">
        <f>VLOOKUP(C248,[2]DATOS!$B$6:$E$1004,4,FALSE)</f>
        <v>10.220.168.234</v>
      </c>
      <c r="F248" s="27" t="str">
        <f>VLOOKUP(C248,[2]DATOS!$B$6:$P$1002,15,FALSE)</f>
        <v>MADERAS</v>
      </c>
      <c r="G248" s="27" t="s">
        <v>759</v>
      </c>
      <c r="H248" s="25" t="s">
        <v>1167</v>
      </c>
      <c r="I248" s="28" t="s">
        <v>993</v>
      </c>
      <c r="J248" s="28" t="s">
        <v>835</v>
      </c>
      <c r="K248" s="29">
        <v>45997.398657407408</v>
      </c>
      <c r="L248" s="30">
        <f t="shared" si="7"/>
        <v>2.8912037036207039E-2</v>
      </c>
    </row>
    <row r="249" spans="1:12" s="25" customFormat="1" x14ac:dyDescent="0.25">
      <c r="A249" s="24">
        <v>45997.504363425927</v>
      </c>
      <c r="B249" s="25" t="s">
        <v>1168</v>
      </c>
      <c r="C249" s="26">
        <v>10000000824</v>
      </c>
      <c r="D249" s="27" t="str">
        <f>VLOOKUP(C249,[2]DATOS!$B$6:$D$1004,3,FALSE)</f>
        <v>CMPC-D-CEL-MADERAS-BUCALEMU-PRIN-10000000824-RESP-GTD</v>
      </c>
      <c r="E249" s="27" t="str">
        <f>VLOOKUP(C249,[2]DATOS!$B$6:$E$1004,4,FALSE)</f>
        <v>10.228.65.30</v>
      </c>
      <c r="F249" s="27" t="str">
        <f>VLOOKUP(C249,[2]DATOS!$B$6:$P$1002,15,FALSE)</f>
        <v>MADERAS</v>
      </c>
      <c r="G249" s="27" t="s">
        <v>759</v>
      </c>
      <c r="H249" s="25" t="s">
        <v>1169</v>
      </c>
      <c r="I249" s="28" t="s">
        <v>974</v>
      </c>
      <c r="J249" s="28" t="s">
        <v>14</v>
      </c>
      <c r="K249" s="29">
        <v>45998.661851851852</v>
      </c>
      <c r="L249" s="30">
        <f t="shared" si="7"/>
        <v>1.1574884259243845</v>
      </c>
    </row>
    <row r="250" spans="1:12" s="25" customFormat="1" x14ac:dyDescent="0.25">
      <c r="A250" s="24">
        <v>46003.045868055553</v>
      </c>
      <c r="B250" s="25" t="s">
        <v>1170</v>
      </c>
      <c r="C250" s="26">
        <v>6999100001</v>
      </c>
      <c r="D250" s="27" t="str">
        <f>VLOOKUP(C250,[2]DATOS!$B$6:$D$1004,3,FALSE)</f>
        <v>CMPC-D-BIO-SOREPA-PUDAHUEL-PRIN-6999100001-RESP-GTD</v>
      </c>
      <c r="E250" s="27" t="str">
        <f>VLOOKUP(C250,[2]DATOS!$B$6:$E$1004,4,FALSE)</f>
        <v>10.228.65.34</v>
      </c>
      <c r="F250" s="27" t="str">
        <f>VLOOKUP(C250,[2]DATOS!$B$6:$P$1002,15,FALSE)</f>
        <v>CORRUGADO</v>
      </c>
      <c r="G250" s="27" t="s">
        <v>759</v>
      </c>
      <c r="H250" s="25" t="s">
        <v>1171</v>
      </c>
      <c r="I250" s="28" t="s">
        <v>834</v>
      </c>
      <c r="J250" s="28" t="s">
        <v>14</v>
      </c>
      <c r="K250" s="29">
        <v>46003.188935185186</v>
      </c>
      <c r="L250" s="30">
        <f t="shared" si="7"/>
        <v>0.14306712963298196</v>
      </c>
    </row>
    <row r="251" spans="1:12" s="25" customFormat="1" x14ac:dyDescent="0.25">
      <c r="A251" s="24">
        <v>46006.442245370374</v>
      </c>
      <c r="B251" s="25" t="s">
        <v>1172</v>
      </c>
      <c r="C251" s="26">
        <v>10000569561</v>
      </c>
      <c r="D251" s="27" t="str">
        <f>VLOOKUP(C251,[2]DATOS!$B$6:$D$1004,3,FALSE)</f>
        <v>CMPC-C-BIO-CHIMOLSA-PTE-ALTO-UPS-10000569561</v>
      </c>
      <c r="E251" s="27" t="str">
        <f>VLOOKUP(C251,[2]DATOS!$B$6:$E$1004,4,FALSE)</f>
        <v>10.223.1.30</v>
      </c>
      <c r="F251" s="27" t="str">
        <f>VLOOKUP(C251,[2]DATOS!$B$6:$P$1002,15,FALSE)</f>
        <v>CORRUGADO</v>
      </c>
      <c r="G251" s="27" t="s">
        <v>759</v>
      </c>
      <c r="H251" s="25" t="s">
        <v>1173</v>
      </c>
      <c r="I251" s="28" t="s">
        <v>993</v>
      </c>
      <c r="J251" s="28" t="s">
        <v>835</v>
      </c>
      <c r="K251" s="29">
        <v>46007.557685185187</v>
      </c>
      <c r="L251" s="30">
        <f t="shared" ref="L251:L252" si="8">K251-A251</f>
        <v>1.1154398148137261</v>
      </c>
    </row>
    <row r="252" spans="1:12" s="25" customFormat="1" x14ac:dyDescent="0.25">
      <c r="A252" s="24">
        <v>46011.976076388892</v>
      </c>
      <c r="B252" s="25" t="s">
        <v>1174</v>
      </c>
      <c r="C252" s="26">
        <v>10000000824</v>
      </c>
      <c r="D252" s="27" t="str">
        <f>VLOOKUP(C252,[2]DATOS!$B$6:$D$1004,3,FALSE)</f>
        <v>CMPC-D-CEL-MADERAS-BUCALEMU-PRIN-10000000824-RESP-GTD</v>
      </c>
      <c r="E252" s="27" t="str">
        <f>VLOOKUP(C252,[2]DATOS!$B$6:$E$1004,4,FALSE)</f>
        <v>10.228.65.30</v>
      </c>
      <c r="F252" s="27" t="str">
        <f>VLOOKUP(C252,[2]DATOS!$B$6:$P$1002,15,FALSE)</f>
        <v>MADERAS</v>
      </c>
      <c r="G252" s="27" t="s">
        <v>759</v>
      </c>
      <c r="H252" s="25" t="s">
        <v>1169</v>
      </c>
      <c r="I252" s="28" t="s">
        <v>974</v>
      </c>
      <c r="J252" s="28" t="s">
        <v>14</v>
      </c>
      <c r="K252" s="29">
        <v>46012.297268518516</v>
      </c>
      <c r="L252" s="30">
        <f t="shared" si="8"/>
        <v>0.32119212962425081</v>
      </c>
    </row>
    <row r="253" spans="1:12" s="25" customFormat="1" x14ac:dyDescent="0.25">
      <c r="A253" s="24">
        <v>46013.570497685185</v>
      </c>
      <c r="B253" s="25" t="s">
        <v>1175</v>
      </c>
      <c r="C253" s="26">
        <v>7096170001</v>
      </c>
      <c r="D253" s="27" t="str">
        <f>VLOOKUP(C253,[2]DATOS!$B$6:$D$1004,3,FALSE)</f>
        <v>CMPC-C-CEL-PACIFICO-TELEFONIA-7096170001</v>
      </c>
      <c r="E253" s="27" t="str">
        <f>VLOOKUP(C253,[2]DATOS!$B$6:$E$1004,4,FALSE)</f>
        <v>10.96.2.164</v>
      </c>
      <c r="F253" s="27" t="str">
        <f>VLOOKUP(C253,[2]DATOS!$B$6:$P$1002,15,FALSE)</f>
        <v>PULP</v>
      </c>
      <c r="G253" s="25" t="s">
        <v>876</v>
      </c>
      <c r="H253" s="25" t="s">
        <v>1188</v>
      </c>
      <c r="I253" s="28" t="s">
        <v>974</v>
      </c>
      <c r="J253" s="28" t="s">
        <v>14</v>
      </c>
      <c r="K253" s="29">
        <v>46020.381990740738</v>
      </c>
      <c r="L253" s="30">
        <f t="shared" ref="L253:L258" si="9">K253-A253</f>
        <v>6.8114930555530009</v>
      </c>
    </row>
    <row r="254" spans="1:12" s="25" customFormat="1" x14ac:dyDescent="0.25">
      <c r="A254" s="24">
        <v>46013.99287037037</v>
      </c>
      <c r="B254" s="25" t="s">
        <v>1176</v>
      </c>
      <c r="C254" s="26">
        <v>6935210001</v>
      </c>
      <c r="D254" s="27" t="str">
        <f>VLOOKUP(C254,[2]DATOS!$B$6:$D$1004,3,FALSE)</f>
        <v>CMPC-C-BIO-CARTULINAS-VALDIVIA-PRIN-6935210001-RESP-GTD</v>
      </c>
      <c r="E254" s="27" t="str">
        <f>VLOOKUP(C254,[2]DATOS!$B$6:$E$1004,4,FALSE)</f>
        <v>10.228.65.26</v>
      </c>
      <c r="F254" s="27" t="str">
        <f>VLOOKUP(C254,[2]DATOS!$B$6:$P$1002,15,FALSE)</f>
        <v>BOXBOARD</v>
      </c>
      <c r="G254" s="27" t="s">
        <v>759</v>
      </c>
      <c r="H254" s="25" t="s">
        <v>1177</v>
      </c>
      <c r="I254" s="28" t="s">
        <v>834</v>
      </c>
      <c r="J254" s="28" t="s">
        <v>14</v>
      </c>
      <c r="K254" s="29">
        <v>46014.022962962961</v>
      </c>
      <c r="L254" s="30">
        <f t="shared" si="9"/>
        <v>3.0092592591245193E-2</v>
      </c>
    </row>
    <row r="255" spans="1:12" s="25" customFormat="1" x14ac:dyDescent="0.25">
      <c r="A255" s="24">
        <v>46014.614351851851</v>
      </c>
      <c r="B255" s="25" t="s">
        <v>1178</v>
      </c>
      <c r="C255" s="26">
        <v>10000058627</v>
      </c>
      <c r="D255" s="27" t="str">
        <f>VLOOKUP(C255,[2]DATOS!$B$6:$D$1004,3,FALSE)</f>
        <v>CMPC-C-CEL-PACIFICO-PRIN-10000058627</v>
      </c>
      <c r="E255" s="27" t="str">
        <f>VLOOKUP(C255,[2]DATOS!$B$6:$E$1004,4,FALSE)</f>
        <v>10.221.19.102</v>
      </c>
      <c r="F255" s="27" t="str">
        <f>VLOOKUP(C255,[2]DATOS!$B$6:$P$1002,15,FALSE)</f>
        <v>PULP</v>
      </c>
      <c r="G255" s="27" t="s">
        <v>783</v>
      </c>
      <c r="H255" s="25" t="s">
        <v>1180</v>
      </c>
      <c r="I255" s="28" t="s">
        <v>834</v>
      </c>
      <c r="J255" s="28" t="s">
        <v>14</v>
      </c>
      <c r="K255" s="29">
        <v>46014.697268518517</v>
      </c>
      <c r="L255" s="30">
        <f t="shared" si="9"/>
        <v>8.2916666666278616E-2</v>
      </c>
    </row>
    <row r="256" spans="1:12" s="25" customFormat="1" x14ac:dyDescent="0.25">
      <c r="A256" s="24">
        <v>46014.627083333333</v>
      </c>
      <c r="B256" s="25" t="s">
        <v>1179</v>
      </c>
      <c r="C256" s="26">
        <v>6963530001</v>
      </c>
      <c r="D256" s="27" t="str">
        <f>VLOOKUP(C256,[2]DATOS!$B$6:$D$1004,3,FALSE)</f>
        <v>CMPC-D-CEL-FORMIN-ANGOL-UNIC-6963530001</v>
      </c>
      <c r="E256" s="27" t="str">
        <f>VLOOKUP(C256,[2]DATOS!$B$6:$E$1004,4,FALSE)</f>
        <v>10.220.168.246</v>
      </c>
      <c r="F256" s="27" t="str">
        <f>VLOOKUP(C256,[2]DATOS!$B$6:$P$1002,15,FALSE)</f>
        <v>FORESTAL</v>
      </c>
      <c r="G256" s="27" t="s">
        <v>783</v>
      </c>
      <c r="H256" s="25" t="s">
        <v>1180</v>
      </c>
      <c r="I256" s="28" t="s">
        <v>834</v>
      </c>
      <c r="J256" s="28" t="s">
        <v>14</v>
      </c>
      <c r="K256" s="29">
        <v>46014.697268518517</v>
      </c>
      <c r="L256" s="30">
        <f t="shared" si="9"/>
        <v>7.0185185184527654E-2</v>
      </c>
    </row>
    <row r="257" spans="1:12" s="25" customFormat="1" x14ac:dyDescent="0.25">
      <c r="A257" s="24">
        <v>46014.645381944443</v>
      </c>
      <c r="B257" s="25" t="s">
        <v>1182</v>
      </c>
      <c r="C257" s="26">
        <v>10000058781</v>
      </c>
      <c r="D257" s="27" t="str">
        <f>VLOOKUP(C257,[2]DATOS!$B$6:$D$1004,3,FALSE)</f>
        <v>CMPC-C-CEL-SANTA-FE-PRIN-10000058781-RESP-GTD</v>
      </c>
      <c r="E257" s="27" t="str">
        <f>VLOOKUP(C257,[2]DATOS!$B$6:$E$1004,4,FALSE)</f>
        <v>10.221.19.98</v>
      </c>
      <c r="F257" s="27" t="str">
        <f>VLOOKUP(C257,[2]DATOS!$B$6:$P$1002,15,FALSE)</f>
        <v>PULP</v>
      </c>
      <c r="G257" s="27" t="s">
        <v>783</v>
      </c>
      <c r="H257" s="25" t="s">
        <v>1181</v>
      </c>
      <c r="I257" s="28" t="s">
        <v>834</v>
      </c>
      <c r="J257" s="28" t="s">
        <v>14</v>
      </c>
      <c r="K257" s="29">
        <v>46014.697268518517</v>
      </c>
      <c r="L257" s="30">
        <f t="shared" si="9"/>
        <v>5.1886574074160308E-2</v>
      </c>
    </row>
    <row r="258" spans="1:12" s="25" customFormat="1" x14ac:dyDescent="0.25">
      <c r="A258" s="24">
        <v>46015.52847222222</v>
      </c>
      <c r="B258" s="25" t="s">
        <v>1183</v>
      </c>
      <c r="C258" s="26">
        <v>6963530001</v>
      </c>
      <c r="D258" s="27" t="str">
        <f>VLOOKUP(C258,[2]DATOS!$B$6:$D$1004,3,FALSE)</f>
        <v>CMPC-D-CEL-FORMIN-ANGOL-UNIC-6963530001</v>
      </c>
      <c r="E258" s="27" t="str">
        <f>VLOOKUP(C258,[2]DATOS!$B$6:$E$1004,4,FALSE)</f>
        <v>10.220.168.246</v>
      </c>
      <c r="F258" s="27" t="str">
        <f>VLOOKUP(C258,[2]DATOS!$B$6:$P$1002,15,FALSE)</f>
        <v>FORESTAL</v>
      </c>
      <c r="G258" s="27" t="s">
        <v>759</v>
      </c>
      <c r="H258" s="25" t="s">
        <v>1184</v>
      </c>
      <c r="I258" s="28" t="s">
        <v>834</v>
      </c>
      <c r="J258" s="28" t="s">
        <v>14</v>
      </c>
      <c r="K258" s="29">
        <v>46015.697268460652</v>
      </c>
      <c r="L258" s="30">
        <f t="shared" si="9"/>
        <v>0.16879623843124136</v>
      </c>
    </row>
    <row r="259" spans="1:12" s="25" customFormat="1" x14ac:dyDescent="0.25">
      <c r="A259" s="24">
        <v>46019.673321759263</v>
      </c>
      <c r="B259" s="25" t="s">
        <v>1185</v>
      </c>
      <c r="C259" s="25">
        <v>10000000824</v>
      </c>
      <c r="D259" s="27" t="str">
        <f>VLOOKUP(C259,[2]DATOS!$B$6:$D$1004,3,FALSE)</f>
        <v>CMPC-D-CEL-MADERAS-BUCALEMU-PRIN-10000000824-RESP-GTD</v>
      </c>
      <c r="E259" s="27" t="str">
        <f>VLOOKUP(C259,[2]DATOS!$B$6:$E$1004,4,FALSE)</f>
        <v>10.228.65.30</v>
      </c>
      <c r="F259" s="27" t="str">
        <f>VLOOKUP(C259,[2]DATOS!$B$6:$P$1002,15,FALSE)</f>
        <v>MADERAS</v>
      </c>
      <c r="G259" s="27" t="s">
        <v>759</v>
      </c>
      <c r="H259" s="25" t="s">
        <v>1169</v>
      </c>
      <c r="I259" s="28" t="s">
        <v>974</v>
      </c>
      <c r="J259" s="28" t="s">
        <v>14</v>
      </c>
      <c r="K259" s="29">
        <v>46019.724351851852</v>
      </c>
      <c r="L259" s="30">
        <f t="shared" ref="L259" si="10">K259-A259</f>
        <v>5.1030092588916887E-2</v>
      </c>
    </row>
    <row r="260" spans="1:12" s="25" customFormat="1" x14ac:dyDescent="0.25">
      <c r="A260" s="24">
        <v>46020.109884259262</v>
      </c>
      <c r="B260" s="25" t="s">
        <v>1186</v>
      </c>
      <c r="C260" s="25">
        <v>10000024475</v>
      </c>
      <c r="D260" s="27" t="str">
        <f>VLOOKUP(C260,[2]DATOS!$B$6:$D$1004,3,FALSE)</f>
        <v>CMPC-D-BIO-SOREPA-PTOMONTT-PRIN-10000024475-RESP-GTD</v>
      </c>
      <c r="E260" s="27" t="str">
        <f>VLOOKUP(C260,[2]DATOS!$B$6:$E$1004,4,FALSE)</f>
        <v>10.220.168.170</v>
      </c>
      <c r="F260" s="27" t="str">
        <f>VLOOKUP(C260,[2]DATOS!$B$6:$P$1002,15,FALSE)</f>
        <v>CORRUGADO</v>
      </c>
      <c r="G260" s="27" t="s">
        <v>759</v>
      </c>
      <c r="H260" s="25" t="s">
        <v>1187</v>
      </c>
      <c r="I260" s="28" t="s">
        <v>974</v>
      </c>
      <c r="J260" s="28" t="s">
        <v>14</v>
      </c>
      <c r="K260" s="29">
        <v>46020.367407407408</v>
      </c>
      <c r="L260" s="30">
        <f t="shared" ref="L260:L262" si="11">K260-A260</f>
        <v>0.25752314814599231</v>
      </c>
    </row>
    <row r="261" spans="1:12" s="25" customFormat="1" x14ac:dyDescent="0.25">
      <c r="A261" s="24">
        <v>46021.528287037036</v>
      </c>
      <c r="B261" s="25" t="s">
        <v>1189</v>
      </c>
      <c r="C261" s="25">
        <v>10000000824</v>
      </c>
      <c r="D261" s="27" t="str">
        <f>VLOOKUP(C261,[2]DATOS!$B$6:$D$1004,3,FALSE)</f>
        <v>CMPC-D-CEL-MADERAS-BUCALEMU-PRIN-10000000824-RESP-GTD</v>
      </c>
      <c r="E261" s="27" t="str">
        <f>VLOOKUP(C261,[2]DATOS!$B$6:$E$1004,4,FALSE)</f>
        <v>10.228.65.30</v>
      </c>
      <c r="F261" s="27" t="str">
        <f>VLOOKUP(C261,[2]DATOS!$B$6:$P$1002,15,FALSE)</f>
        <v>MADERAS</v>
      </c>
      <c r="G261" s="27" t="s">
        <v>759</v>
      </c>
      <c r="H261" s="25" t="s">
        <v>1169</v>
      </c>
      <c r="I261" s="28" t="s">
        <v>974</v>
      </c>
      <c r="J261" s="28" t="s">
        <v>14</v>
      </c>
      <c r="K261" s="29">
        <v>46021.529907407406</v>
      </c>
      <c r="L261" s="30">
        <f t="shared" si="11"/>
        <v>1.6203703708015382E-3</v>
      </c>
    </row>
    <row r="262" spans="1:12" s="25" customFormat="1" x14ac:dyDescent="0.25">
      <c r="A262" s="24">
        <v>46022.743541666663</v>
      </c>
      <c r="B262" s="25" t="s">
        <v>1190</v>
      </c>
      <c r="C262" s="25">
        <v>10000000824</v>
      </c>
      <c r="D262" s="27" t="str">
        <f>VLOOKUP(C262,[2]DATOS!$B$6:$D$1004,3,FALSE)</f>
        <v>CMPC-D-CEL-MADERAS-BUCALEMU-PRIN-10000000824-RESP-GTD</v>
      </c>
      <c r="E262" s="27" t="str">
        <f>VLOOKUP(C262,[2]DATOS!$B$6:$E$1004,4,FALSE)</f>
        <v>10.228.65.30</v>
      </c>
      <c r="F262" s="27" t="str">
        <f>VLOOKUP(C262,[2]DATOS!$B$6:$P$1002,15,FALSE)</f>
        <v>MADERAS</v>
      </c>
      <c r="G262" s="27" t="s">
        <v>759</v>
      </c>
      <c r="H262" s="25" t="s">
        <v>1169</v>
      </c>
      <c r="I262" s="28" t="s">
        <v>974</v>
      </c>
      <c r="J262" s="28" t="s">
        <v>14</v>
      </c>
      <c r="K262" s="47">
        <v>46022.745497685188</v>
      </c>
      <c r="L262" s="30">
        <f t="shared" si="11"/>
        <v>1.9560185246518813E-3</v>
      </c>
    </row>
    <row r="263" spans="1:12" x14ac:dyDescent="0.25">
      <c r="C263" s="2"/>
      <c r="D263" s="27" t="e">
        <f>VLOOKUP(C263,[2]DATOS!$B$6:$D$1004,3,FALSE)</f>
        <v>#N/A</v>
      </c>
      <c r="F263" s="23"/>
      <c r="G263" s="23"/>
      <c r="K263" s="2"/>
      <c r="L263" s="2"/>
    </row>
    <row r="264" spans="1:12" x14ac:dyDescent="0.25">
      <c r="C264" s="2"/>
      <c r="D264" s="2"/>
      <c r="F264" s="23"/>
      <c r="G264" s="23"/>
      <c r="K264" s="2"/>
      <c r="L264" s="2"/>
    </row>
    <row r="265" spans="1:12" x14ac:dyDescent="0.25">
      <c r="C265" s="2"/>
      <c r="D265" s="2"/>
      <c r="F265" s="23"/>
      <c r="G265" s="23"/>
      <c r="K265" s="2"/>
      <c r="L265" s="2"/>
    </row>
    <row r="266" spans="1:12" x14ac:dyDescent="0.25">
      <c r="C266" s="2"/>
      <c r="D266" s="2"/>
      <c r="F266" s="23"/>
      <c r="G266" s="23"/>
      <c r="K266" s="2"/>
      <c r="L266" s="2"/>
    </row>
  </sheetData>
  <autoFilter ref="A1:L197" xr:uid="{5465471C-EA27-4BF2-B5F5-D3CC4C64C0E8}">
    <sortState xmlns:xlrd2="http://schemas.microsoft.com/office/spreadsheetml/2017/richdata2" ref="A2:L252">
      <sortCondition ref="A1:A197"/>
    </sortState>
  </autoFilter>
  <dataConsolidate>
    <dataRefs count="1">
      <dataRef ref="A6:A7" sheet="Hoja6"/>
    </dataRefs>
  </dataConsolidate>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960E0799-EE59-4AE7-AE73-4B02A8358ACB}">
          <x14:formula1>
            <xm:f>Hoja6!$A$11:$A$12</xm:f>
          </x14:formula1>
          <xm:sqref>J2:J70 J72:J73</xm:sqref>
        </x14:dataValidation>
        <x14:dataValidation type="list" allowBlank="1" showInputMessage="1" showErrorMessage="1" xr:uid="{D64B5092-5F6C-4CEC-8889-BA8BE1583AF7}">
          <x14:formula1>
            <xm:f>Hoja6!#REF!</xm:f>
          </x14:formula1>
          <xm:sqref>I72:I73 I49:I70</xm:sqref>
        </x14:dataValidation>
        <x14:dataValidation type="list" allowBlank="1" showInputMessage="1" showErrorMessage="1" xr:uid="{38396263-AC1A-4B27-9BF3-66804BB5B43F}">
          <x14:formula1>
            <xm:f>Hoja6!$A$2:$A$9</xm:f>
          </x14:formula1>
          <xm:sqref>I71 I74:I203 I205:I262</xm:sqref>
        </x14:dataValidation>
        <x14:dataValidation type="list" allowBlank="1" showInputMessage="1" showErrorMessage="1" xr:uid="{7B9B4DB6-0CF3-4DDC-BA5C-FC3C1FE5B01B}">
          <x14:formula1>
            <xm:f>Hoja6!$A$11:$A$13</xm:f>
          </x14:formula1>
          <xm:sqref>J71 J74:J203 J205:J262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C04B-8FA1-46A3-9A0C-08E83CC243E1}">
  <sheetPr codeName="Hoja2"/>
  <dimension ref="A1:M900"/>
  <sheetViews>
    <sheetView zoomScaleNormal="100" workbookViewId="0">
      <pane ySplit="1" topLeftCell="A688" activePane="bottomLeft" state="frozen"/>
      <selection pane="bottomLeft" activeCell="D798" sqref="D798"/>
    </sheetView>
  </sheetViews>
  <sheetFormatPr baseColWidth="10" defaultRowHeight="15" x14ac:dyDescent="0.25"/>
  <cols>
    <col min="1" max="1" width="15.42578125" bestFit="1" customWidth="1"/>
    <col min="2" max="2" width="22.42578125" bestFit="1" customWidth="1"/>
    <col min="3" max="3" width="16.42578125" customWidth="1"/>
    <col min="4" max="4" width="17.85546875" bestFit="1" customWidth="1"/>
    <col min="5" max="5" width="30.42578125" bestFit="1" customWidth="1"/>
    <col min="6" max="6" width="30" bestFit="1" customWidth="1"/>
    <col min="7" max="7" width="28" bestFit="1" customWidth="1"/>
    <col min="8" max="8" width="115.28515625" bestFit="1" customWidth="1"/>
    <col min="9" max="9" width="19" bestFit="1" customWidth="1"/>
    <col min="10" max="10" width="18.140625" bestFit="1" customWidth="1"/>
    <col min="11" max="11" width="35.140625" customWidth="1"/>
    <col min="12" max="12" width="15.140625" bestFit="1" customWidth="1"/>
  </cols>
  <sheetData>
    <row r="1" spans="1:11" x14ac:dyDescent="0.25">
      <c r="A1" s="15" t="s">
        <v>0</v>
      </c>
      <c r="B1" s="1" t="s">
        <v>726</v>
      </c>
      <c r="C1" s="1" t="s">
        <v>1</v>
      </c>
      <c r="D1" s="1" t="s">
        <v>8</v>
      </c>
      <c r="E1" s="1" t="s">
        <v>2</v>
      </c>
      <c r="F1" s="1" t="s">
        <v>725</v>
      </c>
      <c r="G1" s="1" t="s">
        <v>727</v>
      </c>
      <c r="H1" s="1" t="s">
        <v>5</v>
      </c>
      <c r="I1" s="1" t="s">
        <v>7</v>
      </c>
      <c r="J1" s="1" t="s">
        <v>3</v>
      </c>
      <c r="K1" s="1" t="s">
        <v>388</v>
      </c>
    </row>
    <row r="2" spans="1:11" x14ac:dyDescent="0.25">
      <c r="A2" s="5">
        <v>45355.494444444441</v>
      </c>
      <c r="B2" s="3" t="s">
        <v>22</v>
      </c>
      <c r="C2" s="3">
        <v>10000024475</v>
      </c>
      <c r="D2" s="3" t="s">
        <v>10</v>
      </c>
      <c r="E2" s="3" t="s">
        <v>23</v>
      </c>
      <c r="F2" s="3" t="s">
        <v>6</v>
      </c>
      <c r="G2" s="3"/>
      <c r="H2" s="6" t="s">
        <v>24</v>
      </c>
      <c r="I2" s="6" t="s">
        <v>14</v>
      </c>
      <c r="J2" s="5">
        <v>45355.686111111114</v>
      </c>
      <c r="K2" s="7">
        <f>J2-A2</f>
        <v>0.1916666666729725</v>
      </c>
    </row>
    <row r="3" spans="1:11" x14ac:dyDescent="0.25">
      <c r="A3" s="5">
        <v>45356.379861111112</v>
      </c>
      <c r="B3" s="3" t="s">
        <v>25</v>
      </c>
      <c r="C3" s="3">
        <v>7810530001</v>
      </c>
      <c r="D3" s="3" t="s">
        <v>9</v>
      </c>
      <c r="E3" s="3" t="s">
        <v>26</v>
      </c>
      <c r="F3" s="3" t="s">
        <v>6</v>
      </c>
      <c r="G3" s="3"/>
      <c r="H3" s="6" t="s">
        <v>27</v>
      </c>
      <c r="I3" s="6" t="s">
        <v>14</v>
      </c>
      <c r="J3" s="5">
        <v>45356.499305555553</v>
      </c>
      <c r="K3" s="7">
        <f>J3-A3</f>
        <v>0.11944444444088731</v>
      </c>
    </row>
    <row r="4" spans="1:11" x14ac:dyDescent="0.25">
      <c r="A4" s="5">
        <v>45356.768750000003</v>
      </c>
      <c r="B4" s="3" t="s">
        <v>4</v>
      </c>
      <c r="C4" s="3">
        <v>10000514345</v>
      </c>
      <c r="D4" s="3" t="s">
        <v>9</v>
      </c>
      <c r="E4" s="3" t="s">
        <v>11</v>
      </c>
      <c r="F4" s="3" t="s">
        <v>6</v>
      </c>
      <c r="G4" s="3"/>
      <c r="H4" s="6" t="s">
        <v>28</v>
      </c>
      <c r="I4" s="6" t="s">
        <v>13</v>
      </c>
      <c r="J4" s="5">
        <v>45356.779166666667</v>
      </c>
      <c r="K4" s="7">
        <f>J4-A4</f>
        <v>1.0416666664241347E-2</v>
      </c>
    </row>
    <row r="5" spans="1:11" x14ac:dyDescent="0.25">
      <c r="A5" s="5">
        <v>45357.165277777778</v>
      </c>
      <c r="B5" s="3" t="s">
        <v>4</v>
      </c>
      <c r="C5" s="3">
        <v>10000514345</v>
      </c>
      <c r="D5" s="3" t="s">
        <v>9</v>
      </c>
      <c r="E5" s="3" t="s">
        <v>11</v>
      </c>
      <c r="F5" s="3" t="s">
        <v>6</v>
      </c>
      <c r="G5" s="3"/>
      <c r="H5" s="6" t="s">
        <v>28</v>
      </c>
      <c r="I5" s="6" t="s">
        <v>13</v>
      </c>
      <c r="J5" s="5">
        <v>45357.167361111111</v>
      </c>
      <c r="K5" s="7">
        <f t="shared" ref="K5:K68" si="0">J5-A5</f>
        <v>2.0833333328482695E-3</v>
      </c>
    </row>
    <row r="6" spans="1:11" x14ac:dyDescent="0.25">
      <c r="A6" s="5">
        <v>45357.949305555558</v>
      </c>
      <c r="B6" s="3" t="s">
        <v>20</v>
      </c>
      <c r="C6" s="3">
        <v>6966100001</v>
      </c>
      <c r="D6" s="3" t="s">
        <v>10</v>
      </c>
      <c r="E6" s="3" t="s">
        <v>18</v>
      </c>
      <c r="F6" s="3" t="s">
        <v>6</v>
      </c>
      <c r="G6" s="3"/>
      <c r="H6" s="6" t="s">
        <v>29</v>
      </c>
      <c r="I6" s="6" t="s">
        <v>14</v>
      </c>
      <c r="J6" s="5">
        <v>45362.561111111114</v>
      </c>
      <c r="K6" s="7">
        <f t="shared" si="0"/>
        <v>4.6118055555562023</v>
      </c>
    </row>
    <row r="7" spans="1:11" x14ac:dyDescent="0.25">
      <c r="A7" s="5">
        <v>45358.486111111109</v>
      </c>
      <c r="B7" s="3" t="s">
        <v>30</v>
      </c>
      <c r="C7" s="3">
        <v>10000002079</v>
      </c>
      <c r="D7" s="3" t="s">
        <v>10</v>
      </c>
      <c r="E7" s="3" t="s">
        <v>16</v>
      </c>
      <c r="F7" s="3" t="s">
        <v>6</v>
      </c>
      <c r="G7" s="3"/>
      <c r="H7" s="6" t="s">
        <v>31</v>
      </c>
      <c r="I7" s="6" t="s">
        <v>14</v>
      </c>
      <c r="J7" s="5">
        <v>45358.772222222222</v>
      </c>
      <c r="K7" s="7">
        <f t="shared" si="0"/>
        <v>0.28611111111240461</v>
      </c>
    </row>
    <row r="8" spans="1:11" x14ac:dyDescent="0.25">
      <c r="A8" s="5">
        <v>45358.540972222225</v>
      </c>
      <c r="B8" s="3" t="s">
        <v>4</v>
      </c>
      <c r="C8" s="3">
        <v>10000577752</v>
      </c>
      <c r="D8" s="3" t="s">
        <v>9</v>
      </c>
      <c r="E8" s="3" t="s">
        <v>21</v>
      </c>
      <c r="F8" s="3" t="s">
        <v>6</v>
      </c>
      <c r="G8" s="3"/>
      <c r="H8" s="6" t="s">
        <v>28</v>
      </c>
      <c r="I8" s="6" t="s">
        <v>13</v>
      </c>
      <c r="J8" s="5">
        <v>45358.615277777775</v>
      </c>
      <c r="K8" s="7">
        <f t="shared" si="0"/>
        <v>7.4305555550381541E-2</v>
      </c>
    </row>
    <row r="9" spans="1:11" x14ac:dyDescent="0.25">
      <c r="A9" s="5">
        <v>45358.801388888889</v>
      </c>
      <c r="B9" s="3" t="s">
        <v>4</v>
      </c>
      <c r="C9" s="3">
        <v>10000058617</v>
      </c>
      <c r="D9" s="3" t="s">
        <v>10</v>
      </c>
      <c r="E9" s="3" t="s">
        <v>32</v>
      </c>
      <c r="F9" s="3" t="s">
        <v>6</v>
      </c>
      <c r="G9" s="3"/>
      <c r="H9" s="6" t="s">
        <v>12</v>
      </c>
      <c r="I9" s="6" t="s">
        <v>14</v>
      </c>
      <c r="J9" s="5">
        <v>45358.820833333331</v>
      </c>
      <c r="K9" s="7">
        <f t="shared" si="0"/>
        <v>1.9444444442342501E-2</v>
      </c>
    </row>
    <row r="10" spans="1:11" x14ac:dyDescent="0.25">
      <c r="A10" s="5">
        <v>45359.106249999997</v>
      </c>
      <c r="B10" s="3" t="s">
        <v>33</v>
      </c>
      <c r="C10" s="3">
        <v>7853300001</v>
      </c>
      <c r="D10" s="3" t="s">
        <v>9</v>
      </c>
      <c r="E10" s="3" t="s">
        <v>19</v>
      </c>
      <c r="F10" s="3" t="s">
        <v>6</v>
      </c>
      <c r="G10" s="3"/>
      <c r="H10" s="6" t="s">
        <v>34</v>
      </c>
      <c r="I10" s="6" t="s">
        <v>14</v>
      </c>
      <c r="J10" s="5">
        <v>45359.125</v>
      </c>
      <c r="K10" s="7">
        <f t="shared" si="0"/>
        <v>1.8750000002910383E-2</v>
      </c>
    </row>
    <row r="11" spans="1:11" x14ac:dyDescent="0.25">
      <c r="A11" s="5">
        <v>45359.10833333333</v>
      </c>
      <c r="B11" s="3" t="s">
        <v>35</v>
      </c>
      <c r="C11" s="3">
        <v>10000058627</v>
      </c>
      <c r="D11" s="3" t="s">
        <v>9</v>
      </c>
      <c r="E11" s="3" t="s">
        <v>127</v>
      </c>
      <c r="F11" s="3" t="s">
        <v>6</v>
      </c>
      <c r="G11" s="3"/>
      <c r="H11" s="6" t="s">
        <v>34</v>
      </c>
      <c r="I11" s="6" t="s">
        <v>14</v>
      </c>
      <c r="J11" s="5">
        <v>45359.123611111114</v>
      </c>
      <c r="K11" s="7">
        <f t="shared" si="0"/>
        <v>1.527777778392192E-2</v>
      </c>
    </row>
    <row r="12" spans="1:11" x14ac:dyDescent="0.25">
      <c r="A12" s="5">
        <v>45359.37777777778</v>
      </c>
      <c r="B12" s="3" t="s">
        <v>4</v>
      </c>
      <c r="C12" s="3">
        <v>10000011130</v>
      </c>
      <c r="D12" s="3" t="s">
        <v>17</v>
      </c>
      <c r="E12" s="3" t="s">
        <v>15</v>
      </c>
      <c r="F12" s="3" t="s">
        <v>6</v>
      </c>
      <c r="G12" s="3"/>
      <c r="H12" s="6" t="s">
        <v>36</v>
      </c>
      <c r="I12" s="6" t="s">
        <v>13</v>
      </c>
      <c r="J12" s="5">
        <v>45359.711111111108</v>
      </c>
      <c r="K12" s="7">
        <f t="shared" si="0"/>
        <v>0.33333333332848269</v>
      </c>
    </row>
    <row r="13" spans="1:11" x14ac:dyDescent="0.25">
      <c r="A13" s="5">
        <v>45360.4375</v>
      </c>
      <c r="B13" s="3" t="s">
        <v>4</v>
      </c>
      <c r="C13" s="3">
        <v>10000011130</v>
      </c>
      <c r="D13" s="3" t="s">
        <v>17</v>
      </c>
      <c r="E13" s="3" t="s">
        <v>15</v>
      </c>
      <c r="F13" s="3" t="s">
        <v>6</v>
      </c>
      <c r="G13" s="3"/>
      <c r="H13" s="6" t="s">
        <v>36</v>
      </c>
      <c r="I13" s="6" t="s">
        <v>13</v>
      </c>
      <c r="J13" s="5">
        <v>45360.447222222225</v>
      </c>
      <c r="K13" s="7">
        <f t="shared" si="0"/>
        <v>9.7222222248092294E-3</v>
      </c>
    </row>
    <row r="14" spans="1:11" x14ac:dyDescent="0.25">
      <c r="A14" s="5">
        <v>45366.113888888889</v>
      </c>
      <c r="B14" s="3" t="s">
        <v>4</v>
      </c>
      <c r="C14" s="3">
        <v>7808270001</v>
      </c>
      <c r="D14" s="3" t="s">
        <v>9</v>
      </c>
      <c r="E14" s="3" t="s">
        <v>37</v>
      </c>
      <c r="F14" s="3" t="s">
        <v>38</v>
      </c>
      <c r="G14" s="3"/>
      <c r="H14" s="6" t="s">
        <v>39</v>
      </c>
      <c r="I14" s="6" t="s">
        <v>14</v>
      </c>
      <c r="J14" s="5">
        <v>45366.118055555555</v>
      </c>
      <c r="K14" s="7">
        <f t="shared" si="0"/>
        <v>4.166666665696539E-3</v>
      </c>
    </row>
    <row r="15" spans="1:11" x14ac:dyDescent="0.25">
      <c r="A15" s="5">
        <v>45368.304166666669</v>
      </c>
      <c r="B15" s="3" t="s">
        <v>40</v>
      </c>
      <c r="C15" s="3">
        <v>10000058625</v>
      </c>
      <c r="D15" s="3" t="s">
        <v>9</v>
      </c>
      <c r="E15" s="3" t="s">
        <v>41</v>
      </c>
      <c r="F15" s="3" t="s">
        <v>6</v>
      </c>
      <c r="G15" s="3"/>
      <c r="H15" s="6" t="s">
        <v>42</v>
      </c>
      <c r="I15" s="6" t="s">
        <v>13</v>
      </c>
      <c r="J15" s="5">
        <v>45368.989583333336</v>
      </c>
      <c r="K15" s="7">
        <f t="shared" si="0"/>
        <v>0.68541666666715173</v>
      </c>
    </row>
    <row r="16" spans="1:11" x14ac:dyDescent="0.25">
      <c r="A16" s="5">
        <v>45368.337500000001</v>
      </c>
      <c r="B16" s="3" t="s">
        <v>43</v>
      </c>
      <c r="C16" s="3">
        <v>10000004781</v>
      </c>
      <c r="D16" s="3" t="s">
        <v>45</v>
      </c>
      <c r="E16" s="3" t="s">
        <v>44</v>
      </c>
      <c r="F16" s="3" t="s">
        <v>6</v>
      </c>
      <c r="G16" s="3"/>
      <c r="H16" s="6" t="s">
        <v>42</v>
      </c>
      <c r="I16" s="6" t="s">
        <v>13</v>
      </c>
      <c r="J16" s="5">
        <v>45368.551388888889</v>
      </c>
      <c r="K16" s="7">
        <f t="shared" si="0"/>
        <v>0.21388888888759539</v>
      </c>
    </row>
    <row r="17" spans="1:11" x14ac:dyDescent="0.25">
      <c r="A17" s="5">
        <v>45369.895138888889</v>
      </c>
      <c r="B17" s="3" t="s">
        <v>4</v>
      </c>
      <c r="C17" s="3">
        <v>10000577752</v>
      </c>
      <c r="D17" s="3" t="s">
        <v>9</v>
      </c>
      <c r="E17" s="3" t="s">
        <v>21</v>
      </c>
      <c r="F17" s="3" t="s">
        <v>6</v>
      </c>
      <c r="G17" s="3"/>
      <c r="H17" s="6" t="s">
        <v>42</v>
      </c>
      <c r="I17" s="6" t="s">
        <v>13</v>
      </c>
      <c r="J17" s="5">
        <v>45369.927083333336</v>
      </c>
      <c r="K17" s="7">
        <f t="shared" si="0"/>
        <v>3.1944444446708076E-2</v>
      </c>
    </row>
    <row r="18" spans="1:11" x14ac:dyDescent="0.25">
      <c r="A18" s="5">
        <v>45370.058333333334</v>
      </c>
      <c r="B18" s="3" t="s">
        <v>4</v>
      </c>
      <c r="C18" s="3">
        <v>10000571384</v>
      </c>
      <c r="D18" s="3" t="s">
        <v>10</v>
      </c>
      <c r="E18" s="3" t="s">
        <v>50</v>
      </c>
      <c r="F18" s="3" t="s">
        <v>51</v>
      </c>
      <c r="G18" s="3"/>
      <c r="H18" s="6" t="s">
        <v>53</v>
      </c>
      <c r="I18" s="6" t="s">
        <v>13</v>
      </c>
      <c r="J18" s="5">
        <v>45371.527083333334</v>
      </c>
      <c r="K18" s="7">
        <f t="shared" si="0"/>
        <v>1.46875</v>
      </c>
    </row>
    <row r="19" spans="1:11" x14ac:dyDescent="0.25">
      <c r="A19" s="5">
        <v>45370.194444444445</v>
      </c>
      <c r="B19" s="3" t="s">
        <v>4</v>
      </c>
      <c r="C19" s="3">
        <v>10000577752</v>
      </c>
      <c r="D19" s="3" t="s">
        <v>9</v>
      </c>
      <c r="E19" s="3" t="s">
        <v>21</v>
      </c>
      <c r="F19" s="3" t="s">
        <v>6</v>
      </c>
      <c r="G19" s="3"/>
      <c r="H19" s="6" t="s">
        <v>42</v>
      </c>
      <c r="I19" s="6" t="s">
        <v>13</v>
      </c>
      <c r="J19" s="5">
        <v>45370.195833333331</v>
      </c>
      <c r="K19" s="7">
        <f t="shared" si="0"/>
        <v>1.3888888861401938E-3</v>
      </c>
    </row>
    <row r="20" spans="1:11" x14ac:dyDescent="0.25">
      <c r="A20" s="5">
        <v>45370.401388888888</v>
      </c>
      <c r="B20" s="3" t="s">
        <v>46</v>
      </c>
      <c r="C20" s="3">
        <v>6966100001</v>
      </c>
      <c r="D20" s="3" t="s">
        <v>10</v>
      </c>
      <c r="E20" s="3" t="s">
        <v>18</v>
      </c>
      <c r="F20" s="3" t="s">
        <v>6</v>
      </c>
      <c r="G20" s="3"/>
      <c r="H20" s="6" t="s">
        <v>47</v>
      </c>
      <c r="I20" s="6" t="s">
        <v>14</v>
      </c>
      <c r="J20" s="5">
        <v>45370.822916666664</v>
      </c>
      <c r="K20" s="7">
        <f t="shared" si="0"/>
        <v>0.42152777777664596</v>
      </c>
    </row>
    <row r="21" spans="1:11" x14ac:dyDescent="0.25">
      <c r="A21" s="5">
        <v>45370.40347222222</v>
      </c>
      <c r="B21" s="3" t="s">
        <v>48</v>
      </c>
      <c r="C21" s="3">
        <v>10000081665</v>
      </c>
      <c r="D21" s="3" t="s">
        <v>10</v>
      </c>
      <c r="E21" s="3" t="s">
        <v>49</v>
      </c>
      <c r="F21" s="3" t="s">
        <v>6</v>
      </c>
      <c r="G21" s="3"/>
      <c r="H21" s="6" t="s">
        <v>47</v>
      </c>
      <c r="I21" s="6" t="s">
        <v>14</v>
      </c>
      <c r="J21" s="5">
        <v>45370.822222222225</v>
      </c>
      <c r="K21" s="7">
        <f t="shared" si="0"/>
        <v>0.41875000000436557</v>
      </c>
    </row>
    <row r="22" spans="1:11" x14ac:dyDescent="0.25">
      <c r="A22" s="5">
        <v>45370.890972222223</v>
      </c>
      <c r="B22" s="3" t="s">
        <v>46</v>
      </c>
      <c r="C22" s="3">
        <v>6966100001</v>
      </c>
      <c r="D22" s="3" t="s">
        <v>10</v>
      </c>
      <c r="E22" s="3" t="s">
        <v>18</v>
      </c>
      <c r="F22" s="3" t="s">
        <v>6</v>
      </c>
      <c r="G22" s="3"/>
      <c r="H22" s="6" t="s">
        <v>54</v>
      </c>
      <c r="I22" s="6" t="s">
        <v>14</v>
      </c>
      <c r="J22" s="5">
        <v>45371.650694444441</v>
      </c>
      <c r="K22" s="7">
        <f t="shared" si="0"/>
        <v>0.75972222221753327</v>
      </c>
    </row>
    <row r="23" spans="1:11" x14ac:dyDescent="0.25">
      <c r="A23" s="5">
        <v>45371.197222222225</v>
      </c>
      <c r="B23" s="3" t="s">
        <v>4</v>
      </c>
      <c r="C23" s="3">
        <v>10000011130</v>
      </c>
      <c r="D23" s="3" t="s">
        <v>17</v>
      </c>
      <c r="E23" s="3" t="s">
        <v>15</v>
      </c>
      <c r="F23" s="3" t="s">
        <v>38</v>
      </c>
      <c r="G23" s="3"/>
      <c r="H23" s="6" t="s">
        <v>52</v>
      </c>
      <c r="I23" s="6" t="s">
        <v>13</v>
      </c>
      <c r="J23" s="5">
        <v>45371.407638888886</v>
      </c>
      <c r="K23" s="7">
        <f t="shared" si="0"/>
        <v>0.21041666666133096</v>
      </c>
    </row>
    <row r="24" spans="1:11" x14ac:dyDescent="0.25">
      <c r="A24" s="5">
        <v>45371.417361111111</v>
      </c>
      <c r="B24" s="3" t="s">
        <v>55</v>
      </c>
      <c r="C24" s="3">
        <v>10000569561</v>
      </c>
      <c r="D24" s="3" t="s">
        <v>10</v>
      </c>
      <c r="E24" s="3" t="s">
        <v>56</v>
      </c>
      <c r="F24" s="3" t="s">
        <v>57</v>
      </c>
      <c r="G24" s="3"/>
      <c r="H24" s="6" t="s">
        <v>58</v>
      </c>
      <c r="I24" s="6" t="s">
        <v>14</v>
      </c>
      <c r="J24" s="5">
        <v>45372.480555555558</v>
      </c>
      <c r="K24" s="7">
        <f t="shared" si="0"/>
        <v>1.0631944444467081</v>
      </c>
    </row>
    <row r="25" spans="1:11" ht="30" x14ac:dyDescent="0.25">
      <c r="A25" s="5">
        <v>45373.093055555553</v>
      </c>
      <c r="B25" s="3" t="s">
        <v>4</v>
      </c>
      <c r="C25" s="3">
        <v>10000022240</v>
      </c>
      <c r="D25" s="3" t="s">
        <v>9</v>
      </c>
      <c r="E25" s="3" t="s">
        <v>127</v>
      </c>
      <c r="F25" s="3" t="s">
        <v>38</v>
      </c>
      <c r="G25" s="3"/>
      <c r="H25" s="6" t="s">
        <v>59</v>
      </c>
      <c r="I25" s="6" t="s">
        <v>14</v>
      </c>
      <c r="J25" s="5">
        <v>45373.411805555559</v>
      </c>
      <c r="K25" s="7">
        <f t="shared" si="0"/>
        <v>0.31875000000582077</v>
      </c>
    </row>
    <row r="26" spans="1:11" x14ac:dyDescent="0.25">
      <c r="A26" s="5">
        <v>45373.130555555559</v>
      </c>
      <c r="B26" s="3" t="s">
        <v>4</v>
      </c>
      <c r="C26" s="3">
        <v>10000058625</v>
      </c>
      <c r="D26" s="3" t="s">
        <v>9</v>
      </c>
      <c r="E26" s="3" t="s">
        <v>41</v>
      </c>
      <c r="F26" s="3" t="s">
        <v>6</v>
      </c>
      <c r="G26" s="3"/>
      <c r="H26" s="6" t="s">
        <v>28</v>
      </c>
      <c r="I26" s="6" t="s">
        <v>13</v>
      </c>
      <c r="J26" s="5">
        <v>45373.131944444445</v>
      </c>
      <c r="K26" s="7">
        <f t="shared" si="0"/>
        <v>1.3888888861401938E-3</v>
      </c>
    </row>
    <row r="27" spans="1:11" x14ac:dyDescent="0.25">
      <c r="A27" s="5">
        <v>45373.95</v>
      </c>
      <c r="B27" s="3" t="s">
        <v>4</v>
      </c>
      <c r="C27" s="3">
        <v>10000058625</v>
      </c>
      <c r="D27" s="3" t="s">
        <v>9</v>
      </c>
      <c r="E27" s="3" t="s">
        <v>41</v>
      </c>
      <c r="F27" s="3" t="s">
        <v>6</v>
      </c>
      <c r="G27" s="3"/>
      <c r="H27" s="6" t="s">
        <v>60</v>
      </c>
      <c r="I27" s="6" t="s">
        <v>13</v>
      </c>
      <c r="J27" s="5">
        <v>45373.951388888891</v>
      </c>
      <c r="K27" s="7">
        <f t="shared" si="0"/>
        <v>1.3888888934161514E-3</v>
      </c>
    </row>
    <row r="28" spans="1:11" x14ac:dyDescent="0.25">
      <c r="A28" s="5">
        <v>45374.34097222222</v>
      </c>
      <c r="B28" s="3" t="s">
        <v>4</v>
      </c>
      <c r="C28" s="3">
        <v>10000011130</v>
      </c>
      <c r="D28" s="3" t="s">
        <v>17</v>
      </c>
      <c r="E28" s="3" t="s">
        <v>15</v>
      </c>
      <c r="F28" s="3" t="s">
        <v>6</v>
      </c>
      <c r="G28" s="3"/>
      <c r="H28" s="6" t="s">
        <v>28</v>
      </c>
      <c r="I28" s="6" t="s">
        <v>13</v>
      </c>
      <c r="J28" s="5">
        <v>45374.45416666667</v>
      </c>
      <c r="K28" s="7">
        <f t="shared" si="0"/>
        <v>0.11319444444961846</v>
      </c>
    </row>
    <row r="29" spans="1:11" x14ac:dyDescent="0.25">
      <c r="A29" s="5">
        <v>45375.607638888891</v>
      </c>
      <c r="B29" s="3" t="s">
        <v>4</v>
      </c>
      <c r="C29" s="3">
        <v>10000119172</v>
      </c>
      <c r="D29" s="3" t="s">
        <v>10</v>
      </c>
      <c r="E29" s="3" t="s">
        <v>61</v>
      </c>
      <c r="F29" s="3" t="s">
        <v>6</v>
      </c>
      <c r="G29" s="3"/>
      <c r="H29" s="6" t="s">
        <v>28</v>
      </c>
      <c r="I29" s="6" t="s">
        <v>13</v>
      </c>
      <c r="J29" s="5">
        <v>45375.696527777778</v>
      </c>
      <c r="K29" s="7">
        <f t="shared" si="0"/>
        <v>8.8888888887595385E-2</v>
      </c>
    </row>
    <row r="30" spans="1:11" x14ac:dyDescent="0.25">
      <c r="A30" s="5">
        <v>45375.859027777777</v>
      </c>
      <c r="B30" s="3" t="s">
        <v>4</v>
      </c>
      <c r="C30" s="3">
        <v>10000514345</v>
      </c>
      <c r="D30" s="3" t="s">
        <v>9</v>
      </c>
      <c r="E30" s="3" t="s">
        <v>11</v>
      </c>
      <c r="F30" s="3" t="s">
        <v>6</v>
      </c>
      <c r="G30" s="3"/>
      <c r="H30" s="6" t="s">
        <v>28</v>
      </c>
      <c r="I30" s="6" t="s">
        <v>13</v>
      </c>
      <c r="J30" s="5">
        <v>45376.373611111114</v>
      </c>
      <c r="K30" s="7">
        <f t="shared" si="0"/>
        <v>0.51458333333721384</v>
      </c>
    </row>
    <row r="31" spans="1:11" x14ac:dyDescent="0.25">
      <c r="A31" s="5">
        <v>45376.082638888889</v>
      </c>
      <c r="B31" s="3" t="s">
        <v>4</v>
      </c>
      <c r="C31" s="3">
        <v>10000000853</v>
      </c>
      <c r="D31" s="3" t="s">
        <v>9</v>
      </c>
      <c r="E31" s="3" t="s">
        <v>62</v>
      </c>
      <c r="F31" s="3" t="s">
        <v>6</v>
      </c>
      <c r="G31" s="3"/>
      <c r="H31" s="6" t="s">
        <v>63</v>
      </c>
      <c r="I31" s="6" t="s">
        <v>14</v>
      </c>
      <c r="J31" s="5">
        <v>45376.132638888892</v>
      </c>
      <c r="K31" s="7">
        <f t="shared" si="0"/>
        <v>5.0000000002910383E-2</v>
      </c>
    </row>
    <row r="32" spans="1:11" x14ac:dyDescent="0.25">
      <c r="A32" s="5">
        <v>45376.783333333333</v>
      </c>
      <c r="B32" s="3" t="s">
        <v>4</v>
      </c>
      <c r="C32" s="3">
        <v>10000100046</v>
      </c>
      <c r="D32" s="3" t="s">
        <v>10</v>
      </c>
      <c r="E32" s="3" t="s">
        <v>64</v>
      </c>
      <c r="F32" s="3" t="s">
        <v>6</v>
      </c>
      <c r="G32" s="3"/>
      <c r="H32" s="6" t="s">
        <v>65</v>
      </c>
      <c r="I32" s="6" t="s">
        <v>14</v>
      </c>
      <c r="J32" s="5">
        <v>45376.784722222219</v>
      </c>
      <c r="K32" s="7">
        <f t="shared" si="0"/>
        <v>1.3888888861401938E-3</v>
      </c>
    </row>
    <row r="33" spans="1:11" x14ac:dyDescent="0.25">
      <c r="A33" s="5">
        <v>45377.388888888891</v>
      </c>
      <c r="B33" s="3" t="s">
        <v>4</v>
      </c>
      <c r="C33" s="3">
        <v>10000577752</v>
      </c>
      <c r="D33" s="3" t="s">
        <v>9</v>
      </c>
      <c r="E33" s="3" t="s">
        <v>21</v>
      </c>
      <c r="F33" s="3" t="s">
        <v>6</v>
      </c>
      <c r="G33" s="3"/>
      <c r="H33" s="6" t="s">
        <v>69</v>
      </c>
      <c r="I33" s="6" t="s">
        <v>14</v>
      </c>
      <c r="J33" s="5">
        <v>45377.626388888886</v>
      </c>
      <c r="K33" s="7">
        <f t="shared" si="0"/>
        <v>0.23749999999563443</v>
      </c>
    </row>
    <row r="34" spans="1:11" ht="30" x14ac:dyDescent="0.25">
      <c r="A34" s="5">
        <v>45377.4375</v>
      </c>
      <c r="B34" s="3" t="s">
        <v>66</v>
      </c>
      <c r="C34" s="3">
        <v>6963530001</v>
      </c>
      <c r="D34" s="3" t="s">
        <v>9</v>
      </c>
      <c r="E34" s="3" t="s">
        <v>67</v>
      </c>
      <c r="F34" s="3" t="s">
        <v>68</v>
      </c>
      <c r="G34" s="3"/>
      <c r="H34" s="6" t="s">
        <v>79</v>
      </c>
      <c r="I34" s="6" t="s">
        <v>45</v>
      </c>
      <c r="J34" s="5">
        <v>45377.664583333331</v>
      </c>
      <c r="K34" s="7">
        <f t="shared" si="0"/>
        <v>0.22708333333139308</v>
      </c>
    </row>
    <row r="35" spans="1:11" x14ac:dyDescent="0.25">
      <c r="A35" s="5">
        <v>45377.676388888889</v>
      </c>
      <c r="B35" s="3" t="s">
        <v>4</v>
      </c>
      <c r="C35" s="3">
        <v>7810510001</v>
      </c>
      <c r="D35" s="3" t="s">
        <v>9</v>
      </c>
      <c r="E35" s="3" t="s">
        <v>70</v>
      </c>
      <c r="F35" s="3" t="s">
        <v>38</v>
      </c>
      <c r="G35" s="3"/>
      <c r="H35" s="6" t="s">
        <v>71</v>
      </c>
      <c r="I35" s="6" t="s">
        <v>14</v>
      </c>
      <c r="J35" s="5">
        <v>45377.679166666669</v>
      </c>
      <c r="K35" s="7">
        <f t="shared" si="0"/>
        <v>2.7777777795563452E-3</v>
      </c>
    </row>
    <row r="36" spans="1:11" x14ac:dyDescent="0.25">
      <c r="A36" s="5">
        <v>45378.102083333331</v>
      </c>
      <c r="B36" s="3" t="s">
        <v>4</v>
      </c>
      <c r="C36" s="3">
        <v>10000322160</v>
      </c>
      <c r="D36" s="3" t="s">
        <v>9</v>
      </c>
      <c r="E36" s="3" t="s">
        <v>74</v>
      </c>
      <c r="F36" s="3" t="s">
        <v>6</v>
      </c>
      <c r="G36" s="3"/>
      <c r="H36" s="6" t="s">
        <v>73</v>
      </c>
      <c r="I36" s="6" t="s">
        <v>14</v>
      </c>
      <c r="J36" s="5">
        <v>45378.107638888891</v>
      </c>
      <c r="K36" s="7">
        <f t="shared" si="0"/>
        <v>5.5555555591126904E-3</v>
      </c>
    </row>
    <row r="37" spans="1:11" x14ac:dyDescent="0.25">
      <c r="A37" s="5">
        <v>45378.102083333331</v>
      </c>
      <c r="B37" s="3" t="s">
        <v>4</v>
      </c>
      <c r="C37" s="3">
        <v>6999020001</v>
      </c>
      <c r="D37" s="3" t="s">
        <v>10</v>
      </c>
      <c r="E37" s="3" t="s">
        <v>72</v>
      </c>
      <c r="F37" s="3" t="s">
        <v>6</v>
      </c>
      <c r="G37" s="3"/>
      <c r="H37" s="6" t="s">
        <v>73</v>
      </c>
      <c r="I37" s="6" t="s">
        <v>14</v>
      </c>
      <c r="J37" s="5">
        <v>45378.106944444444</v>
      </c>
      <c r="K37" s="7">
        <f t="shared" si="0"/>
        <v>4.8611111124046147E-3</v>
      </c>
    </row>
    <row r="38" spans="1:11" x14ac:dyDescent="0.25">
      <c r="A38" s="5">
        <v>45378.102083333331</v>
      </c>
      <c r="B38" s="3" t="s">
        <v>4</v>
      </c>
      <c r="C38" s="3">
        <v>10000011130</v>
      </c>
      <c r="D38" s="3" t="s">
        <v>17</v>
      </c>
      <c r="E38" s="3" t="s">
        <v>15</v>
      </c>
      <c r="F38" s="3" t="s">
        <v>6</v>
      </c>
      <c r="G38" s="3"/>
      <c r="H38" s="6" t="s">
        <v>73</v>
      </c>
      <c r="I38" s="6" t="s">
        <v>14</v>
      </c>
      <c r="J38" s="5">
        <v>45378.106944444444</v>
      </c>
      <c r="K38" s="7">
        <f t="shared" si="0"/>
        <v>4.8611111124046147E-3</v>
      </c>
    </row>
    <row r="39" spans="1:11" x14ac:dyDescent="0.25">
      <c r="A39" s="5">
        <v>45378.102777777778</v>
      </c>
      <c r="B39" s="3" t="s">
        <v>4</v>
      </c>
      <c r="C39" s="3">
        <v>7808270001</v>
      </c>
      <c r="D39" s="3" t="s">
        <v>9</v>
      </c>
      <c r="E39" s="3" t="s">
        <v>37</v>
      </c>
      <c r="F39" s="3" t="s">
        <v>6</v>
      </c>
      <c r="G39" s="3"/>
      <c r="H39" s="6" t="s">
        <v>73</v>
      </c>
      <c r="I39" s="6" t="s">
        <v>14</v>
      </c>
      <c r="J39" s="5">
        <v>45378.105555555558</v>
      </c>
      <c r="K39" s="7">
        <f t="shared" si="0"/>
        <v>2.7777777795563452E-3</v>
      </c>
    </row>
    <row r="40" spans="1:11" x14ac:dyDescent="0.25">
      <c r="A40" s="5">
        <v>45378.102777777778</v>
      </c>
      <c r="B40" s="3" t="s">
        <v>4</v>
      </c>
      <c r="C40" s="3">
        <v>7800450001</v>
      </c>
      <c r="D40" s="3" t="s">
        <v>10</v>
      </c>
      <c r="E40" s="3" t="s">
        <v>75</v>
      </c>
      <c r="F40" s="3" t="s">
        <v>6</v>
      </c>
      <c r="G40" s="3"/>
      <c r="H40" s="6" t="s">
        <v>73</v>
      </c>
      <c r="I40" s="6" t="s">
        <v>14</v>
      </c>
      <c r="J40" s="5">
        <v>45378.106249999997</v>
      </c>
      <c r="K40" s="7">
        <f t="shared" si="0"/>
        <v>3.4722222189884633E-3</v>
      </c>
    </row>
    <row r="41" spans="1:11" x14ac:dyDescent="0.25">
      <c r="A41" s="5">
        <v>45378.103472222225</v>
      </c>
      <c r="B41" s="3" t="s">
        <v>4</v>
      </c>
      <c r="C41" s="3">
        <v>10000577752</v>
      </c>
      <c r="D41" s="3" t="s">
        <v>9</v>
      </c>
      <c r="E41" s="3" t="s">
        <v>21</v>
      </c>
      <c r="F41" s="3" t="s">
        <v>6</v>
      </c>
      <c r="G41" s="3"/>
      <c r="H41" s="6" t="s">
        <v>73</v>
      </c>
      <c r="I41" s="6" t="s">
        <v>14</v>
      </c>
      <c r="J41" s="5">
        <v>45378.106944444444</v>
      </c>
      <c r="K41" s="7">
        <f t="shared" si="0"/>
        <v>3.4722222189884633E-3</v>
      </c>
    </row>
    <row r="42" spans="1:11" x14ac:dyDescent="0.25">
      <c r="A42" s="5">
        <v>45378.103472222225</v>
      </c>
      <c r="B42" s="3" t="s">
        <v>4</v>
      </c>
      <c r="C42" s="3">
        <v>10000433514</v>
      </c>
      <c r="D42" s="3" t="s">
        <v>9</v>
      </c>
      <c r="E42" s="3" t="s">
        <v>76</v>
      </c>
      <c r="F42" s="3" t="s">
        <v>6</v>
      </c>
      <c r="G42" s="3"/>
      <c r="H42" s="6" t="s">
        <v>73</v>
      </c>
      <c r="I42" s="6" t="s">
        <v>14</v>
      </c>
      <c r="J42" s="5">
        <v>45378.106249999997</v>
      </c>
      <c r="K42" s="7">
        <f t="shared" si="0"/>
        <v>2.7777777722803876E-3</v>
      </c>
    </row>
    <row r="43" spans="1:11" x14ac:dyDescent="0.25">
      <c r="A43" s="5">
        <v>45378.103472222225</v>
      </c>
      <c r="B43" s="3" t="s">
        <v>4</v>
      </c>
      <c r="C43" s="3">
        <v>7810510001</v>
      </c>
      <c r="D43" s="3" t="s">
        <v>9</v>
      </c>
      <c r="E43" s="3" t="s">
        <v>70</v>
      </c>
      <c r="F43" s="3" t="s">
        <v>6</v>
      </c>
      <c r="G43" s="3"/>
      <c r="H43" s="6" t="s">
        <v>73</v>
      </c>
      <c r="I43" s="6" t="s">
        <v>14</v>
      </c>
      <c r="J43" s="5">
        <v>45378.106249999997</v>
      </c>
      <c r="K43" s="7">
        <f t="shared" si="0"/>
        <v>2.7777777722803876E-3</v>
      </c>
    </row>
    <row r="44" spans="1:11" x14ac:dyDescent="0.25">
      <c r="A44" s="5">
        <v>45378.303472222222</v>
      </c>
      <c r="B44" s="3" t="s">
        <v>4</v>
      </c>
      <c r="C44" s="3">
        <v>10000569606</v>
      </c>
      <c r="D44" s="3" t="s">
        <v>9</v>
      </c>
      <c r="E44" s="3" t="s">
        <v>77</v>
      </c>
      <c r="F44" s="3" t="s">
        <v>51</v>
      </c>
      <c r="G44" s="3"/>
      <c r="H44" s="6" t="s">
        <v>78</v>
      </c>
      <c r="I44" s="6" t="s">
        <v>45</v>
      </c>
      <c r="J44" s="5">
        <v>45378.304861111108</v>
      </c>
      <c r="K44" s="7">
        <f t="shared" si="0"/>
        <v>1.3888888861401938E-3</v>
      </c>
    </row>
    <row r="45" spans="1:11" x14ac:dyDescent="0.25">
      <c r="A45" s="11">
        <v>45381.5</v>
      </c>
      <c r="B45" s="4" t="s">
        <v>80</v>
      </c>
      <c r="C45" s="4">
        <v>696610001</v>
      </c>
      <c r="D45" s="4" t="s">
        <v>10</v>
      </c>
      <c r="E45" s="4" t="s">
        <v>18</v>
      </c>
      <c r="F45" s="4" t="s">
        <v>6</v>
      </c>
      <c r="G45" s="3"/>
      <c r="H45" s="12" t="s">
        <v>83</v>
      </c>
      <c r="I45" s="12" t="s">
        <v>14</v>
      </c>
      <c r="J45" s="5">
        <v>45384.671527777777</v>
      </c>
      <c r="K45" s="7">
        <f t="shared" si="0"/>
        <v>3.171527777776646</v>
      </c>
    </row>
    <row r="46" spans="1:11" x14ac:dyDescent="0.25">
      <c r="A46" s="5">
        <v>45384.277083333334</v>
      </c>
      <c r="B46" s="3" t="s">
        <v>4</v>
      </c>
      <c r="C46" s="3">
        <v>10000011130</v>
      </c>
      <c r="D46" s="3" t="s">
        <v>17</v>
      </c>
      <c r="E46" s="3" t="s">
        <v>15</v>
      </c>
      <c r="F46" s="3" t="s">
        <v>6</v>
      </c>
      <c r="G46" s="3"/>
      <c r="H46" s="6" t="s">
        <v>81</v>
      </c>
      <c r="I46" s="6" t="s">
        <v>13</v>
      </c>
      <c r="J46" s="5">
        <v>45384.320138888892</v>
      </c>
      <c r="K46" s="7">
        <f t="shared" si="0"/>
        <v>4.3055555557657499E-2</v>
      </c>
    </row>
    <row r="47" spans="1:11" x14ac:dyDescent="0.25">
      <c r="A47" s="5">
        <v>45385.356249999997</v>
      </c>
      <c r="B47" s="3" t="s">
        <v>4</v>
      </c>
      <c r="C47" s="3">
        <v>10000569832</v>
      </c>
      <c r="D47" s="3" t="s">
        <v>10</v>
      </c>
      <c r="E47" s="3" t="s">
        <v>82</v>
      </c>
      <c r="F47" s="3" t="s">
        <v>51</v>
      </c>
      <c r="G47" s="3"/>
      <c r="H47" s="6" t="s">
        <v>78</v>
      </c>
      <c r="I47" s="6" t="s">
        <v>13</v>
      </c>
      <c r="J47" s="5">
        <v>45385.379166666666</v>
      </c>
      <c r="K47" s="7">
        <f t="shared" si="0"/>
        <v>2.2916666668606922E-2</v>
      </c>
    </row>
    <row r="48" spans="1:11" x14ac:dyDescent="0.25">
      <c r="A48" s="5">
        <v>45386.086111111108</v>
      </c>
      <c r="B48" s="3" t="s">
        <v>4</v>
      </c>
      <c r="C48" s="3">
        <v>6966100001</v>
      </c>
      <c r="D48" s="3" t="s">
        <v>10</v>
      </c>
      <c r="E48" s="3" t="s">
        <v>18</v>
      </c>
      <c r="F48" s="3" t="s">
        <v>6</v>
      </c>
      <c r="G48" s="3"/>
      <c r="H48" s="6" t="s">
        <v>84</v>
      </c>
      <c r="I48" s="6" t="s">
        <v>14</v>
      </c>
      <c r="J48" s="5">
        <v>45386.102777777778</v>
      </c>
      <c r="K48" s="7">
        <f t="shared" si="0"/>
        <v>1.6666666670062114E-2</v>
      </c>
    </row>
    <row r="49" spans="1:11" x14ac:dyDescent="0.25">
      <c r="A49" s="5">
        <v>45386.138194444444</v>
      </c>
      <c r="B49" s="3" t="s">
        <v>4</v>
      </c>
      <c r="C49" s="3">
        <v>6966100001</v>
      </c>
      <c r="D49" s="3" t="s">
        <v>10</v>
      </c>
      <c r="E49" s="3" t="s">
        <v>18</v>
      </c>
      <c r="F49" s="3" t="s">
        <v>6</v>
      </c>
      <c r="G49" s="3"/>
      <c r="H49" s="6" t="s">
        <v>84</v>
      </c>
      <c r="I49" s="6" t="s">
        <v>14</v>
      </c>
      <c r="J49" s="5">
        <v>45386.140972222223</v>
      </c>
      <c r="K49" s="7">
        <f t="shared" si="0"/>
        <v>2.7777777795563452E-3</v>
      </c>
    </row>
    <row r="50" spans="1:11" x14ac:dyDescent="0.25">
      <c r="A50" s="5">
        <v>45386.548611111109</v>
      </c>
      <c r="B50" s="3" t="s">
        <v>85</v>
      </c>
      <c r="C50" s="3">
        <v>6999070001</v>
      </c>
      <c r="D50" s="3" t="s">
        <v>10</v>
      </c>
      <c r="E50" s="3" t="s">
        <v>86</v>
      </c>
      <c r="F50" s="3" t="s">
        <v>6</v>
      </c>
      <c r="G50" s="3"/>
      <c r="H50" s="6" t="s">
        <v>87</v>
      </c>
      <c r="I50" s="6" t="s">
        <v>14</v>
      </c>
      <c r="J50" s="5">
        <v>45387.841666666667</v>
      </c>
      <c r="K50" s="7">
        <f t="shared" si="0"/>
        <v>1.2930555555576575</v>
      </c>
    </row>
    <row r="51" spans="1:11" x14ac:dyDescent="0.25">
      <c r="A51" s="5">
        <v>45386.720833333333</v>
      </c>
      <c r="B51" s="3" t="s">
        <v>88</v>
      </c>
      <c r="C51" s="3">
        <v>10000457638</v>
      </c>
      <c r="D51" s="3" t="s">
        <v>104</v>
      </c>
      <c r="E51" s="3" t="s">
        <v>89</v>
      </c>
      <c r="F51" s="3" t="s">
        <v>90</v>
      </c>
      <c r="G51" s="3"/>
      <c r="H51" s="6" t="s">
        <v>91</v>
      </c>
      <c r="I51" s="6" t="s">
        <v>14</v>
      </c>
      <c r="J51" s="5">
        <v>45387.954861111109</v>
      </c>
      <c r="K51" s="7">
        <f t="shared" si="0"/>
        <v>1.234027777776646</v>
      </c>
    </row>
    <row r="52" spans="1:11" x14ac:dyDescent="0.25">
      <c r="A52" s="5">
        <v>45386.726388888892</v>
      </c>
      <c r="B52" s="3" t="s">
        <v>4</v>
      </c>
      <c r="C52" s="3">
        <v>10000009996</v>
      </c>
      <c r="D52" s="3" t="s">
        <v>9</v>
      </c>
      <c r="E52" s="3" t="s">
        <v>92</v>
      </c>
      <c r="F52" s="3" t="s">
        <v>6</v>
      </c>
      <c r="G52" s="3"/>
      <c r="H52" s="6" t="s">
        <v>42</v>
      </c>
      <c r="I52" s="6" t="s">
        <v>13</v>
      </c>
      <c r="J52" s="5">
        <v>45386.731944444444</v>
      </c>
      <c r="K52" s="7">
        <f t="shared" si="0"/>
        <v>5.5555555518367328E-3</v>
      </c>
    </row>
    <row r="53" spans="1:11" x14ac:dyDescent="0.25">
      <c r="A53" s="5">
        <v>45386.728472222225</v>
      </c>
      <c r="B53" s="3" t="s">
        <v>4</v>
      </c>
      <c r="C53" s="3">
        <v>10000347457</v>
      </c>
      <c r="D53" s="3" t="s">
        <v>9</v>
      </c>
      <c r="E53" s="3" t="s">
        <v>93</v>
      </c>
      <c r="F53" s="3" t="s">
        <v>6</v>
      </c>
      <c r="G53" s="3"/>
      <c r="H53" s="6" t="s">
        <v>42</v>
      </c>
      <c r="I53" s="6" t="s">
        <v>13</v>
      </c>
      <c r="J53" s="5">
        <v>45386.734027777777</v>
      </c>
      <c r="K53" s="7">
        <f t="shared" si="0"/>
        <v>5.5555555518367328E-3</v>
      </c>
    </row>
    <row r="54" spans="1:11" x14ac:dyDescent="0.25">
      <c r="A54" s="5">
        <v>45387.49722222222</v>
      </c>
      <c r="B54" s="3" t="s">
        <v>4</v>
      </c>
      <c r="C54" s="3">
        <v>10000514345</v>
      </c>
      <c r="D54" s="3" t="s">
        <v>9</v>
      </c>
      <c r="E54" s="3" t="s">
        <v>11</v>
      </c>
      <c r="F54" s="3" t="s">
        <v>6</v>
      </c>
      <c r="G54" s="3"/>
      <c r="H54" s="6" t="s">
        <v>42</v>
      </c>
      <c r="I54" s="6" t="s">
        <v>13</v>
      </c>
      <c r="J54" s="5">
        <v>45387.501388888886</v>
      </c>
      <c r="K54" s="7">
        <f t="shared" si="0"/>
        <v>4.166666665696539E-3</v>
      </c>
    </row>
    <row r="55" spans="1:11" x14ac:dyDescent="0.25">
      <c r="A55" s="5">
        <v>45387.56527777778</v>
      </c>
      <c r="B55" s="3" t="s">
        <v>94</v>
      </c>
      <c r="C55" s="3">
        <v>6966100001</v>
      </c>
      <c r="D55" s="3" t="s">
        <v>10</v>
      </c>
      <c r="E55" s="3" t="s">
        <v>18</v>
      </c>
      <c r="F55" s="3" t="s">
        <v>6</v>
      </c>
      <c r="G55" s="3"/>
      <c r="H55" s="6" t="s">
        <v>105</v>
      </c>
      <c r="I55" s="6" t="s">
        <v>14</v>
      </c>
      <c r="J55" s="5">
        <v>45390.7</v>
      </c>
      <c r="K55" s="7">
        <f t="shared" si="0"/>
        <v>3.1347222222175333</v>
      </c>
    </row>
    <row r="56" spans="1:11" x14ac:dyDescent="0.25">
      <c r="A56" s="5">
        <v>45387.603472222225</v>
      </c>
      <c r="B56" s="3" t="s">
        <v>4</v>
      </c>
      <c r="C56" s="3">
        <v>10000011130</v>
      </c>
      <c r="D56" s="3" t="s">
        <v>17</v>
      </c>
      <c r="E56" s="3" t="s">
        <v>15</v>
      </c>
      <c r="F56" s="3" t="s">
        <v>6</v>
      </c>
      <c r="G56" s="3"/>
      <c r="H56" s="6" t="s">
        <v>42</v>
      </c>
      <c r="I56" s="6" t="s">
        <v>13</v>
      </c>
      <c r="J56" s="5">
        <v>45388.526388888888</v>
      </c>
      <c r="K56" s="7">
        <f t="shared" si="0"/>
        <v>0.92291666666278616</v>
      </c>
    </row>
    <row r="57" spans="1:11" x14ac:dyDescent="0.25">
      <c r="A57" s="5">
        <v>45387.652777777781</v>
      </c>
      <c r="B57" s="3" t="s">
        <v>4</v>
      </c>
      <c r="C57" s="3">
        <v>10000514345</v>
      </c>
      <c r="D57" s="3" t="s">
        <v>9</v>
      </c>
      <c r="E57" s="3" t="s">
        <v>11</v>
      </c>
      <c r="F57" s="3" t="s">
        <v>6</v>
      </c>
      <c r="G57" s="3"/>
      <c r="H57" s="6" t="s">
        <v>42</v>
      </c>
      <c r="I57" s="6" t="s">
        <v>13</v>
      </c>
      <c r="J57" s="5">
        <v>45388.655555555553</v>
      </c>
      <c r="K57" s="7">
        <f t="shared" si="0"/>
        <v>1.0027777777722804</v>
      </c>
    </row>
    <row r="58" spans="1:11" x14ac:dyDescent="0.25">
      <c r="A58" s="5">
        <v>45388.536111111112</v>
      </c>
      <c r="B58" s="3" t="s">
        <v>4</v>
      </c>
      <c r="C58" s="3">
        <v>6999100001</v>
      </c>
      <c r="D58" s="3" t="s">
        <v>10</v>
      </c>
      <c r="E58" s="3" t="s">
        <v>95</v>
      </c>
      <c r="F58" s="3" t="s">
        <v>38</v>
      </c>
      <c r="G58" s="3"/>
      <c r="H58" s="6" t="s">
        <v>91</v>
      </c>
      <c r="I58" s="6" t="s">
        <v>14</v>
      </c>
      <c r="J58" s="5">
        <v>45388.55972222222</v>
      </c>
      <c r="K58" s="7">
        <f t="shared" si="0"/>
        <v>2.361111110803904E-2</v>
      </c>
    </row>
    <row r="59" spans="1:11" x14ac:dyDescent="0.25">
      <c r="A59" s="5">
        <v>45389.331944444442</v>
      </c>
      <c r="B59" s="3" t="s">
        <v>4</v>
      </c>
      <c r="C59" s="3">
        <v>10000347457</v>
      </c>
      <c r="D59" s="3" t="s">
        <v>9</v>
      </c>
      <c r="E59" s="3" t="s">
        <v>93</v>
      </c>
      <c r="F59" s="3" t="s">
        <v>6</v>
      </c>
      <c r="G59" s="3"/>
      <c r="H59" s="6" t="s">
        <v>42</v>
      </c>
      <c r="I59" s="6" t="s">
        <v>13</v>
      </c>
      <c r="J59" s="5">
        <v>45389.341666666667</v>
      </c>
      <c r="K59" s="7">
        <f t="shared" si="0"/>
        <v>9.7222222248092294E-3</v>
      </c>
    </row>
    <row r="60" spans="1:11" x14ac:dyDescent="0.25">
      <c r="A60" s="5">
        <v>45389.331944444442</v>
      </c>
      <c r="B60" s="3" t="s">
        <v>4</v>
      </c>
      <c r="C60" s="3">
        <v>7853300001</v>
      </c>
      <c r="D60" s="3" t="s">
        <v>9</v>
      </c>
      <c r="E60" s="3" t="s">
        <v>19</v>
      </c>
      <c r="F60" s="3" t="s">
        <v>6</v>
      </c>
      <c r="G60" s="3"/>
      <c r="H60" s="6" t="s">
        <v>101</v>
      </c>
      <c r="I60" s="6" t="s">
        <v>14</v>
      </c>
      <c r="J60" s="5">
        <v>45389.339583333334</v>
      </c>
      <c r="K60" s="7">
        <f t="shared" si="0"/>
        <v>7.6388888919609599E-3</v>
      </c>
    </row>
    <row r="61" spans="1:11" x14ac:dyDescent="0.25">
      <c r="A61" s="5">
        <v>45389.334027777775</v>
      </c>
      <c r="B61" s="3" t="s">
        <v>4</v>
      </c>
      <c r="C61" s="3">
        <v>10000009996</v>
      </c>
      <c r="D61" s="3" t="s">
        <v>9</v>
      </c>
      <c r="E61" s="3" t="s">
        <v>92</v>
      </c>
      <c r="F61" s="3" t="s">
        <v>6</v>
      </c>
      <c r="G61" s="3"/>
      <c r="H61" s="6" t="s">
        <v>42</v>
      </c>
      <c r="I61" s="6" t="s">
        <v>13</v>
      </c>
      <c r="J61" s="5">
        <v>45389.343055555553</v>
      </c>
      <c r="K61" s="7">
        <f t="shared" si="0"/>
        <v>9.0277777781011537E-3</v>
      </c>
    </row>
    <row r="62" spans="1:11" x14ac:dyDescent="0.25">
      <c r="A62" s="5">
        <v>45389.334027777775</v>
      </c>
      <c r="B62" s="3" t="s">
        <v>4</v>
      </c>
      <c r="C62" s="3">
        <v>10000058627</v>
      </c>
      <c r="D62" s="3" t="s">
        <v>9</v>
      </c>
      <c r="E62" s="3" t="s">
        <v>127</v>
      </c>
      <c r="F62" s="3" t="s">
        <v>6</v>
      </c>
      <c r="G62" s="3"/>
      <c r="H62" s="6" t="s">
        <v>101</v>
      </c>
      <c r="I62" s="6" t="s">
        <v>14</v>
      </c>
      <c r="J62" s="5">
        <v>45389.340277777781</v>
      </c>
      <c r="K62" s="7">
        <f t="shared" si="0"/>
        <v>6.2500000058207661E-3</v>
      </c>
    </row>
    <row r="63" spans="1:11" x14ac:dyDescent="0.25">
      <c r="A63" s="5">
        <v>45389.422222222223</v>
      </c>
      <c r="B63" s="3" t="s">
        <v>4</v>
      </c>
      <c r="C63" s="3">
        <v>7823550001</v>
      </c>
      <c r="D63" s="3" t="s">
        <v>10</v>
      </c>
      <c r="E63" s="3" t="s">
        <v>102</v>
      </c>
      <c r="F63" s="3" t="s">
        <v>6</v>
      </c>
      <c r="G63" s="3"/>
      <c r="H63" s="6" t="s">
        <v>42</v>
      </c>
      <c r="I63" s="6" t="s">
        <v>13</v>
      </c>
      <c r="J63" s="5">
        <v>45389.586805555555</v>
      </c>
      <c r="K63" s="7">
        <f t="shared" si="0"/>
        <v>0.16458333333139308</v>
      </c>
    </row>
    <row r="64" spans="1:11" ht="30" x14ac:dyDescent="0.25">
      <c r="A64" s="5">
        <v>45389.500694444447</v>
      </c>
      <c r="B64" s="3" t="s">
        <v>96</v>
      </c>
      <c r="C64" s="3">
        <v>10000058625</v>
      </c>
      <c r="D64" s="3" t="s">
        <v>9</v>
      </c>
      <c r="E64" s="3" t="s">
        <v>41</v>
      </c>
      <c r="F64" s="3" t="s">
        <v>97</v>
      </c>
      <c r="G64" s="3"/>
      <c r="H64" s="6" t="s">
        <v>98</v>
      </c>
      <c r="I64" s="6" t="s">
        <v>14</v>
      </c>
      <c r="J64" s="5">
        <v>45390.897222222222</v>
      </c>
      <c r="K64" s="7">
        <f t="shared" si="0"/>
        <v>1.3965277777751908</v>
      </c>
    </row>
    <row r="65" spans="1:11" ht="30" x14ac:dyDescent="0.25">
      <c r="A65" s="5">
        <v>45389.525000000001</v>
      </c>
      <c r="B65" s="3" t="s">
        <v>99</v>
      </c>
      <c r="C65" s="3">
        <v>10000022234</v>
      </c>
      <c r="D65" s="3" t="s">
        <v>9</v>
      </c>
      <c r="E65" s="3" t="s">
        <v>100</v>
      </c>
      <c r="F65" s="3" t="s">
        <v>97</v>
      </c>
      <c r="G65" s="3"/>
      <c r="H65" s="6" t="s">
        <v>98</v>
      </c>
      <c r="I65" s="6" t="s">
        <v>14</v>
      </c>
      <c r="J65" s="5">
        <v>45390.897222222222</v>
      </c>
      <c r="K65" s="7">
        <f t="shared" si="0"/>
        <v>1.3722222222204437</v>
      </c>
    </row>
    <row r="66" spans="1:11" x14ac:dyDescent="0.25">
      <c r="A66" s="5">
        <v>45389.561805555553</v>
      </c>
      <c r="B66" s="3" t="s">
        <v>4</v>
      </c>
      <c r="C66" s="3">
        <v>10000119172</v>
      </c>
      <c r="D66" s="3" t="s">
        <v>10</v>
      </c>
      <c r="E66" s="3" t="s">
        <v>103</v>
      </c>
      <c r="F66" s="3" t="s">
        <v>6</v>
      </c>
      <c r="G66" s="3"/>
      <c r="H66" s="6" t="s">
        <v>42</v>
      </c>
      <c r="I66" s="6" t="s">
        <v>13</v>
      </c>
      <c r="J66" s="5">
        <v>45389.640972222223</v>
      </c>
      <c r="K66" s="7">
        <f t="shared" si="0"/>
        <v>7.9166666670062114E-2</v>
      </c>
    </row>
    <row r="67" spans="1:11" x14ac:dyDescent="0.25">
      <c r="A67" s="5">
        <v>45389.854861111111</v>
      </c>
      <c r="B67" s="3" t="s">
        <v>4</v>
      </c>
      <c r="C67" s="3">
        <v>10000058627</v>
      </c>
      <c r="D67" s="3" t="s">
        <v>9</v>
      </c>
      <c r="E67" s="3" t="s">
        <v>127</v>
      </c>
      <c r="F67" s="3" t="s">
        <v>6</v>
      </c>
      <c r="G67" s="3"/>
      <c r="H67" s="6" t="s">
        <v>101</v>
      </c>
      <c r="I67" s="6" t="s">
        <v>14</v>
      </c>
      <c r="J67" s="5">
        <v>45389.859722222223</v>
      </c>
      <c r="K67" s="7">
        <f t="shared" si="0"/>
        <v>4.8611111124046147E-3</v>
      </c>
    </row>
    <row r="68" spans="1:11" x14ac:dyDescent="0.25">
      <c r="A68" s="5">
        <v>45389.854861111111</v>
      </c>
      <c r="B68" s="3" t="s">
        <v>4</v>
      </c>
      <c r="C68" s="3">
        <v>7853300001</v>
      </c>
      <c r="D68" s="3" t="s">
        <v>9</v>
      </c>
      <c r="E68" s="3" t="s">
        <v>19</v>
      </c>
      <c r="F68" s="3" t="s">
        <v>6</v>
      </c>
      <c r="G68" s="3"/>
      <c r="H68" s="6" t="s">
        <v>101</v>
      </c>
      <c r="I68" s="6" t="s">
        <v>14</v>
      </c>
      <c r="J68" s="5">
        <v>45389.857638888891</v>
      </c>
      <c r="K68" s="7">
        <f t="shared" si="0"/>
        <v>2.7777777795563452E-3</v>
      </c>
    </row>
    <row r="69" spans="1:11" x14ac:dyDescent="0.25">
      <c r="A69" s="5">
        <v>45390.675694444442</v>
      </c>
      <c r="B69" s="3" t="s">
        <v>106</v>
      </c>
      <c r="C69" s="3">
        <v>10000457638</v>
      </c>
      <c r="D69" s="3" t="s">
        <v>104</v>
      </c>
      <c r="E69" s="3" t="s">
        <v>107</v>
      </c>
      <c r="F69" s="3" t="s">
        <v>6</v>
      </c>
      <c r="G69" s="3"/>
      <c r="H69" s="6" t="s">
        <v>108</v>
      </c>
      <c r="I69" s="6" t="s">
        <v>14</v>
      </c>
      <c r="J69" s="5">
        <v>45390.910416666666</v>
      </c>
      <c r="K69" s="7">
        <f t="shared" ref="K69:K132" si="1">J69-A69</f>
        <v>0.23472222222335404</v>
      </c>
    </row>
    <row r="70" spans="1:11" x14ac:dyDescent="0.25">
      <c r="A70" s="5">
        <v>45390.690972222219</v>
      </c>
      <c r="B70" s="3" t="s">
        <v>109</v>
      </c>
      <c r="C70" s="3">
        <v>6999100001</v>
      </c>
      <c r="D70" s="3" t="s">
        <v>10</v>
      </c>
      <c r="E70" s="3" t="s">
        <v>95</v>
      </c>
      <c r="F70" s="3" t="s">
        <v>6</v>
      </c>
      <c r="G70" s="3"/>
      <c r="H70" s="6" t="s">
        <v>110</v>
      </c>
      <c r="I70" s="6" t="s">
        <v>14</v>
      </c>
      <c r="J70" s="5">
        <v>45391.636111111111</v>
      </c>
      <c r="K70" s="7">
        <f t="shared" si="1"/>
        <v>0.94513888889196096</v>
      </c>
    </row>
    <row r="71" spans="1:11" ht="30" x14ac:dyDescent="0.25">
      <c r="A71" s="5">
        <v>45391.038194444445</v>
      </c>
      <c r="B71" s="3" t="s">
        <v>111</v>
      </c>
      <c r="C71" s="3">
        <v>6935210001</v>
      </c>
      <c r="D71" s="3" t="s">
        <v>10</v>
      </c>
      <c r="E71" s="3" t="s">
        <v>112</v>
      </c>
      <c r="F71" s="3" t="s">
        <v>6</v>
      </c>
      <c r="G71" s="3"/>
      <c r="H71" s="6" t="s">
        <v>113</v>
      </c>
      <c r="I71" s="6" t="s">
        <v>14</v>
      </c>
      <c r="J71" s="5">
        <v>45391.14166666667</v>
      </c>
      <c r="K71" s="7">
        <f t="shared" si="1"/>
        <v>0.10347222222480923</v>
      </c>
    </row>
    <row r="72" spans="1:11" ht="30" x14ac:dyDescent="0.25">
      <c r="A72" s="5">
        <v>45393.158333333333</v>
      </c>
      <c r="B72" s="3" t="s">
        <v>151</v>
      </c>
      <c r="C72" s="3">
        <v>10000022240</v>
      </c>
      <c r="D72" s="3" t="s">
        <v>9</v>
      </c>
      <c r="E72" s="3" t="s">
        <v>127</v>
      </c>
      <c r="F72" s="3" t="s">
        <v>38</v>
      </c>
      <c r="G72" s="3"/>
      <c r="H72" s="6" t="s">
        <v>114</v>
      </c>
      <c r="I72" s="6" t="s">
        <v>14</v>
      </c>
      <c r="J72" s="5">
        <v>45393.173611111109</v>
      </c>
      <c r="K72" s="7">
        <f t="shared" si="1"/>
        <v>1.5277777776645962E-2</v>
      </c>
    </row>
    <row r="73" spans="1:11" ht="45" x14ac:dyDescent="0.25">
      <c r="A73" s="5">
        <v>45394.552777777775</v>
      </c>
      <c r="B73" s="3" t="s">
        <v>115</v>
      </c>
      <c r="C73" s="3">
        <v>10000081665</v>
      </c>
      <c r="D73" s="3" t="s">
        <v>10</v>
      </c>
      <c r="E73" s="3" t="s">
        <v>49</v>
      </c>
      <c r="F73" s="3" t="s">
        <v>6</v>
      </c>
      <c r="G73" s="3"/>
      <c r="H73" s="6" t="s">
        <v>116</v>
      </c>
      <c r="I73" s="6" t="s">
        <v>14</v>
      </c>
      <c r="J73" s="5">
        <v>45394.615277777775</v>
      </c>
      <c r="K73" s="7">
        <f t="shared" si="1"/>
        <v>6.25E-2</v>
      </c>
    </row>
    <row r="74" spans="1:11" x14ac:dyDescent="0.25">
      <c r="A74" s="5">
        <v>45394.628472222219</v>
      </c>
      <c r="B74" s="3" t="s">
        <v>117</v>
      </c>
      <c r="C74" s="3">
        <v>10000081665</v>
      </c>
      <c r="D74" s="3" t="s">
        <v>10</v>
      </c>
      <c r="E74" s="3" t="s">
        <v>49</v>
      </c>
      <c r="F74" s="3" t="s">
        <v>6</v>
      </c>
      <c r="G74" s="3"/>
      <c r="H74" s="6" t="s">
        <v>118</v>
      </c>
      <c r="I74" s="6" t="s">
        <v>14</v>
      </c>
      <c r="J74" s="5">
        <v>45395.18472222222</v>
      </c>
      <c r="K74" s="7">
        <f t="shared" si="1"/>
        <v>0.55625000000145519</v>
      </c>
    </row>
    <row r="75" spans="1:11" x14ac:dyDescent="0.25">
      <c r="A75" s="5">
        <v>45396.430555555555</v>
      </c>
      <c r="B75" s="3" t="s">
        <v>119</v>
      </c>
      <c r="C75" s="3">
        <v>7831420001</v>
      </c>
      <c r="D75" s="3" t="s">
        <v>9</v>
      </c>
      <c r="E75" s="3" t="s">
        <v>120</v>
      </c>
      <c r="F75" s="3" t="s">
        <v>51</v>
      </c>
      <c r="G75" s="3"/>
      <c r="H75" s="6" t="s">
        <v>121</v>
      </c>
      <c r="I75" s="6" t="s">
        <v>13</v>
      </c>
      <c r="J75" s="5">
        <v>45396.694444444445</v>
      </c>
      <c r="K75" s="7">
        <f t="shared" si="1"/>
        <v>0.26388888889050577</v>
      </c>
    </row>
    <row r="76" spans="1:11" x14ac:dyDescent="0.25">
      <c r="A76" s="5">
        <v>45396.621527777781</v>
      </c>
      <c r="B76" s="3" t="s">
        <v>4</v>
      </c>
      <c r="C76" s="3">
        <v>10000569589</v>
      </c>
      <c r="D76" s="3" t="s">
        <v>10</v>
      </c>
      <c r="E76" s="3" t="s">
        <v>122</v>
      </c>
      <c r="F76" s="3" t="s">
        <v>51</v>
      </c>
      <c r="G76" s="3"/>
      <c r="H76" s="6" t="s">
        <v>121</v>
      </c>
      <c r="I76" s="6" t="s">
        <v>13</v>
      </c>
      <c r="J76" s="5">
        <v>45396.634722222225</v>
      </c>
      <c r="K76" s="7">
        <f t="shared" si="1"/>
        <v>1.3194444443797693E-2</v>
      </c>
    </row>
    <row r="77" spans="1:11" x14ac:dyDescent="0.25">
      <c r="A77" s="5">
        <v>45396.923611111109</v>
      </c>
      <c r="B77" s="3" t="s">
        <v>123</v>
      </c>
      <c r="C77" s="3">
        <v>4518550001</v>
      </c>
      <c r="D77" s="3" t="s">
        <v>10</v>
      </c>
      <c r="E77" s="3" t="s">
        <v>124</v>
      </c>
      <c r="F77" s="3" t="s">
        <v>125</v>
      </c>
      <c r="G77" s="3"/>
      <c r="H77" s="6" t="s">
        <v>391</v>
      </c>
      <c r="I77" s="6" t="s">
        <v>13</v>
      </c>
      <c r="J77" s="5">
        <v>45404.57916666667</v>
      </c>
      <c r="K77" s="7">
        <f t="shared" si="1"/>
        <v>7.6555555555605679</v>
      </c>
    </row>
    <row r="78" spans="1:11" x14ac:dyDescent="0.25">
      <c r="A78" s="5">
        <v>45397.368750000001</v>
      </c>
      <c r="B78" s="3" t="s">
        <v>4</v>
      </c>
      <c r="C78" s="3">
        <v>10000009996</v>
      </c>
      <c r="D78" s="3" t="s">
        <v>9</v>
      </c>
      <c r="E78" s="3" t="s">
        <v>92</v>
      </c>
      <c r="F78" s="3" t="s">
        <v>6</v>
      </c>
      <c r="G78" s="3"/>
      <c r="H78" s="6" t="s">
        <v>42</v>
      </c>
      <c r="I78" s="6" t="s">
        <v>13</v>
      </c>
      <c r="J78" s="5">
        <v>45397.381249999999</v>
      </c>
      <c r="K78" s="7">
        <f t="shared" si="1"/>
        <v>1.2499999997089617E-2</v>
      </c>
    </row>
    <row r="79" spans="1:11" x14ac:dyDescent="0.25">
      <c r="A79" s="5">
        <v>45397.368750000001</v>
      </c>
      <c r="B79" s="3" t="s">
        <v>126</v>
      </c>
      <c r="C79" s="3">
        <v>10000058627</v>
      </c>
      <c r="D79" s="3" t="s">
        <v>9</v>
      </c>
      <c r="E79" s="3" t="s">
        <v>127</v>
      </c>
      <c r="F79" s="3" t="s">
        <v>6</v>
      </c>
      <c r="G79" s="3"/>
      <c r="H79" s="6" t="s">
        <v>128</v>
      </c>
      <c r="I79" s="6" t="s">
        <v>14</v>
      </c>
      <c r="J79" s="5">
        <v>45397.443055555559</v>
      </c>
      <c r="K79" s="7">
        <f t="shared" si="1"/>
        <v>7.4305555557657499E-2</v>
      </c>
    </row>
    <row r="80" spans="1:11" x14ac:dyDescent="0.25">
      <c r="A80" s="5">
        <v>45397.369444444441</v>
      </c>
      <c r="B80" s="3" t="s">
        <v>129</v>
      </c>
      <c r="C80" s="3">
        <v>7853300001</v>
      </c>
      <c r="D80" s="3" t="s">
        <v>9</v>
      </c>
      <c r="E80" s="3" t="s">
        <v>19</v>
      </c>
      <c r="F80" s="3" t="s">
        <v>6</v>
      </c>
      <c r="G80" s="3"/>
      <c r="H80" s="6" t="s">
        <v>128</v>
      </c>
      <c r="I80" s="6" t="s">
        <v>14</v>
      </c>
      <c r="J80" s="5">
        <v>45397.443055555559</v>
      </c>
      <c r="K80" s="7">
        <f t="shared" si="1"/>
        <v>7.3611111118225381E-2</v>
      </c>
    </row>
    <row r="81" spans="1:11" x14ac:dyDescent="0.25">
      <c r="A81" s="5">
        <v>45397.370833333334</v>
      </c>
      <c r="B81" s="3" t="s">
        <v>4</v>
      </c>
      <c r="C81" s="3">
        <v>10000347457</v>
      </c>
      <c r="D81" s="3" t="s">
        <v>9</v>
      </c>
      <c r="E81" s="3" t="s">
        <v>93</v>
      </c>
      <c r="F81" s="3" t="s">
        <v>6</v>
      </c>
      <c r="G81" s="3"/>
      <c r="H81" s="6" t="s">
        <v>42</v>
      </c>
      <c r="I81" s="6" t="s">
        <v>13</v>
      </c>
      <c r="J81" s="5">
        <v>45397.400694444441</v>
      </c>
      <c r="K81" s="7">
        <f t="shared" si="1"/>
        <v>2.9861111106583849E-2</v>
      </c>
    </row>
    <row r="82" spans="1:11" x14ac:dyDescent="0.25">
      <c r="A82" s="5">
        <v>45397.602083333331</v>
      </c>
      <c r="B82" s="3" t="s">
        <v>130</v>
      </c>
      <c r="C82" s="3">
        <v>6999040001</v>
      </c>
      <c r="D82" s="3" t="s">
        <v>10</v>
      </c>
      <c r="E82" s="3" t="s">
        <v>131</v>
      </c>
      <c r="F82" s="3" t="s">
        <v>6</v>
      </c>
      <c r="G82" s="3"/>
      <c r="H82" s="6" t="s">
        <v>137</v>
      </c>
      <c r="I82" s="6"/>
      <c r="J82" s="5">
        <v>45398.445833333331</v>
      </c>
      <c r="K82" s="7">
        <f t="shared" si="1"/>
        <v>0.84375</v>
      </c>
    </row>
    <row r="83" spans="1:11" x14ac:dyDescent="0.25">
      <c r="A83" s="5">
        <v>45397.623611111114</v>
      </c>
      <c r="B83" s="3" t="s">
        <v>4</v>
      </c>
      <c r="C83" s="3">
        <v>10000583588</v>
      </c>
      <c r="D83" s="3" t="s">
        <v>45</v>
      </c>
      <c r="E83" s="3" t="s">
        <v>132</v>
      </c>
      <c r="F83" s="3" t="s">
        <v>51</v>
      </c>
      <c r="G83" s="3"/>
      <c r="H83" s="6" t="s">
        <v>121</v>
      </c>
      <c r="I83" s="6" t="s">
        <v>13</v>
      </c>
      <c r="J83" s="5">
        <v>45397.697916666664</v>
      </c>
      <c r="K83" s="7">
        <f t="shared" si="1"/>
        <v>7.4305555550381541E-2</v>
      </c>
    </row>
    <row r="84" spans="1:11" x14ac:dyDescent="0.25">
      <c r="A84" s="5">
        <v>45397.753472222219</v>
      </c>
      <c r="B84" s="3" t="s">
        <v>4</v>
      </c>
      <c r="C84" s="3">
        <v>10000004781</v>
      </c>
      <c r="D84" s="3" t="s">
        <v>45</v>
      </c>
      <c r="E84" s="3" t="s">
        <v>44</v>
      </c>
      <c r="F84" s="3" t="s">
        <v>6</v>
      </c>
      <c r="G84" s="3"/>
      <c r="H84" s="6" t="s">
        <v>42</v>
      </c>
      <c r="I84" s="6" t="s">
        <v>13</v>
      </c>
      <c r="J84" s="5">
        <v>45397.755555555559</v>
      </c>
      <c r="K84" s="7">
        <f t="shared" si="1"/>
        <v>2.0833333401242271E-3</v>
      </c>
    </row>
    <row r="85" spans="1:11" x14ac:dyDescent="0.25">
      <c r="A85" s="5">
        <v>45397.777083333334</v>
      </c>
      <c r="B85" s="3" t="s">
        <v>133</v>
      </c>
      <c r="C85" s="3">
        <v>10000002227</v>
      </c>
      <c r="D85" s="3" t="s">
        <v>134</v>
      </c>
      <c r="E85" s="3" t="s">
        <v>135</v>
      </c>
      <c r="F85" s="3" t="s">
        <v>6</v>
      </c>
      <c r="G85" s="3"/>
      <c r="H85" s="6" t="s">
        <v>136</v>
      </c>
      <c r="I85" s="6" t="s">
        <v>14</v>
      </c>
      <c r="J85" s="5">
        <v>45397.841666666667</v>
      </c>
      <c r="K85" s="7">
        <f t="shared" si="1"/>
        <v>6.4583333332848269E-2</v>
      </c>
    </row>
    <row r="86" spans="1:11" x14ac:dyDescent="0.25">
      <c r="A86" s="5">
        <v>45398.649305555555</v>
      </c>
      <c r="B86" s="3" t="s">
        <v>138</v>
      </c>
      <c r="C86" s="3">
        <v>10000081665</v>
      </c>
      <c r="D86" s="3" t="s">
        <v>10</v>
      </c>
      <c r="E86" s="3" t="s">
        <v>49</v>
      </c>
      <c r="F86" s="3" t="s">
        <v>6</v>
      </c>
      <c r="G86" s="3"/>
      <c r="H86" s="6" t="s">
        <v>139</v>
      </c>
      <c r="I86" s="6" t="s">
        <v>14</v>
      </c>
      <c r="J86" s="5">
        <v>45398.88958333333</v>
      </c>
      <c r="K86" s="7">
        <f t="shared" si="1"/>
        <v>0.24027777777519077</v>
      </c>
    </row>
    <row r="87" spans="1:11" x14ac:dyDescent="0.25">
      <c r="A87" s="5">
        <v>45400.058333333334</v>
      </c>
      <c r="B87" s="3" t="s">
        <v>140</v>
      </c>
      <c r="C87" s="3">
        <v>10000022240</v>
      </c>
      <c r="D87" s="3" t="s">
        <v>9</v>
      </c>
      <c r="E87" s="3" t="s">
        <v>127</v>
      </c>
      <c r="F87" s="3" t="s">
        <v>38</v>
      </c>
      <c r="G87" s="3"/>
      <c r="H87" s="6" t="s">
        <v>141</v>
      </c>
      <c r="I87" s="6" t="s">
        <v>14</v>
      </c>
      <c r="J87" s="5">
        <v>45400.422222222223</v>
      </c>
      <c r="K87" s="7">
        <f t="shared" si="1"/>
        <v>0.36388888888905058</v>
      </c>
    </row>
    <row r="88" spans="1:11" x14ac:dyDescent="0.25">
      <c r="A88" s="5">
        <v>45402.238888888889</v>
      </c>
      <c r="B88" s="3" t="s">
        <v>4</v>
      </c>
      <c r="C88" s="3">
        <v>10000011130</v>
      </c>
      <c r="D88" s="3" t="s">
        <v>17</v>
      </c>
      <c r="E88" s="3" t="s">
        <v>15</v>
      </c>
      <c r="F88" s="3" t="s">
        <v>6</v>
      </c>
      <c r="G88" s="3"/>
      <c r="H88" s="6" t="s">
        <v>142</v>
      </c>
      <c r="I88" s="6" t="s">
        <v>13</v>
      </c>
      <c r="J88" s="5">
        <v>45402.63958333333</v>
      </c>
      <c r="K88" s="7">
        <f t="shared" si="1"/>
        <v>0.40069444444088731</v>
      </c>
    </row>
    <row r="89" spans="1:11" x14ac:dyDescent="0.25">
      <c r="A89" s="5">
        <v>45402.463888888888</v>
      </c>
      <c r="B89" s="3" t="s">
        <v>143</v>
      </c>
      <c r="C89" s="3">
        <v>10000017699</v>
      </c>
      <c r="D89" s="3" t="s">
        <v>10</v>
      </c>
      <c r="E89" s="3" t="s">
        <v>144</v>
      </c>
      <c r="F89" s="3" t="s">
        <v>6</v>
      </c>
      <c r="G89" s="3"/>
      <c r="H89" s="6" t="s">
        <v>42</v>
      </c>
      <c r="I89" s="6" t="s">
        <v>13</v>
      </c>
      <c r="J89" s="5">
        <v>45402.618750000001</v>
      </c>
      <c r="K89" s="7">
        <f t="shared" si="1"/>
        <v>0.15486111111385981</v>
      </c>
    </row>
    <row r="90" spans="1:11" x14ac:dyDescent="0.25">
      <c r="A90" s="5">
        <v>45403.441666666666</v>
      </c>
      <c r="B90" s="3" t="s">
        <v>145</v>
      </c>
      <c r="C90" s="3">
        <v>7831420001</v>
      </c>
      <c r="D90" s="3" t="s">
        <v>9</v>
      </c>
      <c r="E90" s="3" t="s">
        <v>120</v>
      </c>
      <c r="F90" s="3" t="s">
        <v>6</v>
      </c>
      <c r="G90" s="3"/>
      <c r="H90" s="6" t="s">
        <v>42</v>
      </c>
      <c r="I90" s="6" t="s">
        <v>13</v>
      </c>
      <c r="J90" s="5">
        <v>45403.746527777781</v>
      </c>
      <c r="K90" s="7">
        <f t="shared" si="1"/>
        <v>0.304861111115315</v>
      </c>
    </row>
    <row r="91" spans="1:11" x14ac:dyDescent="0.25">
      <c r="A91" s="5">
        <v>45403.45</v>
      </c>
      <c r="B91" s="3" t="s">
        <v>4</v>
      </c>
      <c r="C91" s="3">
        <v>10000612357</v>
      </c>
      <c r="D91" s="3" t="s">
        <v>9</v>
      </c>
      <c r="E91" s="3" t="s">
        <v>146</v>
      </c>
      <c r="F91" s="3" t="s">
        <v>6</v>
      </c>
      <c r="G91" s="3"/>
      <c r="H91" s="6" t="s">
        <v>42</v>
      </c>
      <c r="I91" s="6" t="s">
        <v>13</v>
      </c>
      <c r="J91" s="5">
        <v>45403.688194444447</v>
      </c>
      <c r="K91" s="7">
        <f t="shared" si="1"/>
        <v>0.23819444444961846</v>
      </c>
    </row>
    <row r="92" spans="1:11" x14ac:dyDescent="0.25">
      <c r="A92" s="5">
        <v>45403.563888888886</v>
      </c>
      <c r="B92" s="3" t="s">
        <v>4</v>
      </c>
      <c r="C92" s="3">
        <v>10000057951</v>
      </c>
      <c r="D92" s="3" t="s">
        <v>10</v>
      </c>
      <c r="E92" s="3" t="s">
        <v>147</v>
      </c>
      <c r="F92" s="3" t="s">
        <v>148</v>
      </c>
      <c r="G92" s="3"/>
      <c r="H92" s="6" t="s">
        <v>42</v>
      </c>
      <c r="I92" s="6" t="s">
        <v>13</v>
      </c>
      <c r="J92" s="5">
        <v>45403.6875</v>
      </c>
      <c r="K92" s="7">
        <f t="shared" si="1"/>
        <v>0.12361111111385981</v>
      </c>
    </row>
    <row r="93" spans="1:11" x14ac:dyDescent="0.25">
      <c r="A93" s="5">
        <v>45403.853472222225</v>
      </c>
      <c r="B93" s="3" t="s">
        <v>4</v>
      </c>
      <c r="C93" s="3">
        <v>10000011130</v>
      </c>
      <c r="D93" s="3" t="s">
        <v>17</v>
      </c>
      <c r="E93" s="3" t="s">
        <v>15</v>
      </c>
      <c r="F93" s="3" t="s">
        <v>6</v>
      </c>
      <c r="G93" s="3"/>
      <c r="H93" s="6" t="s">
        <v>142</v>
      </c>
      <c r="I93" s="6" t="s">
        <v>13</v>
      </c>
      <c r="J93" s="5">
        <v>45403.856249999997</v>
      </c>
      <c r="K93" s="7">
        <f t="shared" si="1"/>
        <v>2.7777777722803876E-3</v>
      </c>
    </row>
    <row r="94" spans="1:11" x14ac:dyDescent="0.25">
      <c r="A94" s="5">
        <v>45403.870833333334</v>
      </c>
      <c r="B94" s="3" t="s">
        <v>4</v>
      </c>
      <c r="C94" s="3">
        <v>10000011130</v>
      </c>
      <c r="D94" s="3" t="s">
        <v>17</v>
      </c>
      <c r="E94" s="3" t="s">
        <v>15</v>
      </c>
      <c r="F94" s="3" t="s">
        <v>6</v>
      </c>
      <c r="G94" s="3"/>
      <c r="H94" s="6" t="s">
        <v>142</v>
      </c>
      <c r="I94" s="6" t="s">
        <v>13</v>
      </c>
      <c r="J94" s="5">
        <v>45403.872916666667</v>
      </c>
      <c r="K94" s="7">
        <f t="shared" si="1"/>
        <v>2.0833333328482695E-3</v>
      </c>
    </row>
    <row r="95" spans="1:11" x14ac:dyDescent="0.25">
      <c r="A95" s="5">
        <v>45404.068749999999</v>
      </c>
      <c r="B95" s="3" t="s">
        <v>4</v>
      </c>
      <c r="C95" s="3">
        <v>10000011130</v>
      </c>
      <c r="D95" s="3" t="s">
        <v>17</v>
      </c>
      <c r="E95" s="3" t="s">
        <v>15</v>
      </c>
      <c r="F95" s="3" t="s">
        <v>6</v>
      </c>
      <c r="G95" s="3"/>
      <c r="H95" s="6" t="s">
        <v>42</v>
      </c>
      <c r="I95" s="6" t="s">
        <v>13</v>
      </c>
      <c r="J95" s="5">
        <v>45404.384027777778</v>
      </c>
      <c r="K95" s="7">
        <f t="shared" si="1"/>
        <v>0.31527777777955635</v>
      </c>
    </row>
    <row r="96" spans="1:11" x14ac:dyDescent="0.25">
      <c r="A96" s="5">
        <v>45404.146527777775</v>
      </c>
      <c r="B96" s="3" t="s">
        <v>4</v>
      </c>
      <c r="C96" s="3">
        <v>10000000824</v>
      </c>
      <c r="D96" s="3" t="s">
        <v>9</v>
      </c>
      <c r="E96" s="3" t="s">
        <v>149</v>
      </c>
      <c r="F96" s="3" t="s">
        <v>6</v>
      </c>
      <c r="G96" s="3"/>
      <c r="H96" s="6" t="s">
        <v>150</v>
      </c>
      <c r="I96" s="6" t="s">
        <v>14</v>
      </c>
      <c r="J96" s="5">
        <v>45404.152083333334</v>
      </c>
      <c r="K96" s="7">
        <f t="shared" si="1"/>
        <v>5.5555555591126904E-3</v>
      </c>
    </row>
    <row r="97" spans="1:11" x14ac:dyDescent="0.25">
      <c r="A97" s="5">
        <v>45404.554166666669</v>
      </c>
      <c r="B97" s="3" t="s">
        <v>152</v>
      </c>
      <c r="C97" s="3">
        <v>6999080001</v>
      </c>
      <c r="D97" s="3" t="s">
        <v>10</v>
      </c>
      <c r="E97" s="3" t="s">
        <v>153</v>
      </c>
      <c r="F97" s="3" t="s">
        <v>6</v>
      </c>
      <c r="G97" s="3"/>
      <c r="H97" s="6" t="s">
        <v>154</v>
      </c>
      <c r="I97" s="6" t="s">
        <v>14</v>
      </c>
      <c r="J97" s="5">
        <v>45405.475694444445</v>
      </c>
      <c r="K97" s="7">
        <f t="shared" si="1"/>
        <v>0.92152777777664596</v>
      </c>
    </row>
    <row r="98" spans="1:11" x14ac:dyDescent="0.25">
      <c r="A98" s="5">
        <v>45404.590277777781</v>
      </c>
      <c r="B98" s="3" t="s">
        <v>4</v>
      </c>
      <c r="C98" s="3">
        <v>6998930001</v>
      </c>
      <c r="D98" s="3" t="s">
        <v>9</v>
      </c>
      <c r="E98" s="3" t="s">
        <v>155</v>
      </c>
      <c r="F98" s="3" t="s">
        <v>6</v>
      </c>
      <c r="G98" s="3"/>
      <c r="H98" s="6" t="s">
        <v>156</v>
      </c>
      <c r="I98" s="6" t="s">
        <v>14</v>
      </c>
      <c r="J98" s="5">
        <v>45404.593055555553</v>
      </c>
      <c r="K98" s="7">
        <f t="shared" si="1"/>
        <v>2.7777777722803876E-3</v>
      </c>
    </row>
    <row r="99" spans="1:11" x14ac:dyDescent="0.25">
      <c r="A99" s="5">
        <v>45404.635416666664</v>
      </c>
      <c r="B99" s="3" t="s">
        <v>4</v>
      </c>
      <c r="C99" s="3">
        <v>6998930001</v>
      </c>
      <c r="D99" s="3" t="s">
        <v>9</v>
      </c>
      <c r="E99" s="3" t="s">
        <v>155</v>
      </c>
      <c r="F99" s="3" t="s">
        <v>6</v>
      </c>
      <c r="G99" s="3"/>
      <c r="H99" s="6" t="s">
        <v>156</v>
      </c>
      <c r="I99" s="6" t="s">
        <v>14</v>
      </c>
      <c r="J99" s="5">
        <v>45404.636111111111</v>
      </c>
      <c r="K99" s="7">
        <f t="shared" si="1"/>
        <v>6.944444467080757E-4</v>
      </c>
    </row>
    <row r="100" spans="1:11" x14ac:dyDescent="0.25">
      <c r="A100" s="5">
        <v>45405.298611111109</v>
      </c>
      <c r="B100" s="3" t="s">
        <v>4</v>
      </c>
      <c r="C100" s="3">
        <v>6999070001</v>
      </c>
      <c r="D100" s="3" t="s">
        <v>10</v>
      </c>
      <c r="E100" s="3" t="s">
        <v>86</v>
      </c>
      <c r="F100" s="3" t="s">
        <v>6</v>
      </c>
      <c r="G100" s="3"/>
      <c r="H100" s="6" t="s">
        <v>42</v>
      </c>
      <c r="I100" s="6" t="s">
        <v>13</v>
      </c>
      <c r="J100" s="5">
        <v>45405.317361111112</v>
      </c>
      <c r="K100" s="7">
        <f t="shared" si="1"/>
        <v>1.8750000002910383E-2</v>
      </c>
    </row>
    <row r="101" spans="1:11" x14ac:dyDescent="0.25">
      <c r="A101" s="5">
        <v>45406.276388888888</v>
      </c>
      <c r="B101" s="3" t="s">
        <v>4</v>
      </c>
      <c r="C101" s="3">
        <v>10000577752</v>
      </c>
      <c r="D101" s="3" t="s">
        <v>9</v>
      </c>
      <c r="E101" s="3" t="s">
        <v>21</v>
      </c>
      <c r="F101" s="3" t="s">
        <v>6</v>
      </c>
      <c r="G101" s="3"/>
      <c r="H101" s="6" t="s">
        <v>42</v>
      </c>
      <c r="I101" s="6" t="s">
        <v>13</v>
      </c>
      <c r="J101" s="5">
        <v>45406.287499999999</v>
      </c>
      <c r="K101" s="7">
        <f t="shared" si="1"/>
        <v>1.1111111110949423E-2</v>
      </c>
    </row>
    <row r="102" spans="1:11" x14ac:dyDescent="0.25">
      <c r="A102" s="5">
        <v>45406.400000000001</v>
      </c>
      <c r="B102" s="3" t="s">
        <v>4</v>
      </c>
      <c r="C102" s="3">
        <v>6999020001</v>
      </c>
      <c r="D102" s="3" t="s">
        <v>10</v>
      </c>
      <c r="E102" s="3" t="s">
        <v>72</v>
      </c>
      <c r="F102" s="3" t="s">
        <v>6</v>
      </c>
      <c r="G102" s="3"/>
      <c r="H102" s="6" t="s">
        <v>42</v>
      </c>
      <c r="I102" s="6" t="s">
        <v>13</v>
      </c>
      <c r="J102" s="5">
        <v>45406.43472222222</v>
      </c>
      <c r="K102" s="7">
        <f t="shared" si="1"/>
        <v>3.4722222218988463E-2</v>
      </c>
    </row>
    <row r="103" spans="1:11" x14ac:dyDescent="0.25">
      <c r="A103" s="5">
        <v>45407.15347222222</v>
      </c>
      <c r="B103" s="3" t="s">
        <v>4</v>
      </c>
      <c r="C103" s="3">
        <v>7808270001</v>
      </c>
      <c r="D103" s="3" t="s">
        <v>9</v>
      </c>
      <c r="E103" s="3" t="s">
        <v>37</v>
      </c>
      <c r="F103" s="3" t="s">
        <v>6</v>
      </c>
      <c r="G103" s="3"/>
      <c r="H103" s="6" t="s">
        <v>101</v>
      </c>
      <c r="I103" s="6" t="s">
        <v>14</v>
      </c>
      <c r="J103" s="5">
        <v>45407.158333333333</v>
      </c>
      <c r="K103" s="7">
        <f t="shared" si="1"/>
        <v>4.8611111124046147E-3</v>
      </c>
    </row>
    <row r="104" spans="1:11" x14ac:dyDescent="0.25">
      <c r="A104" s="5">
        <v>45407.15347222222</v>
      </c>
      <c r="B104" s="3" t="s">
        <v>4</v>
      </c>
      <c r="C104" s="3">
        <v>7831420001</v>
      </c>
      <c r="D104" s="3" t="s">
        <v>9</v>
      </c>
      <c r="E104" s="3" t="s">
        <v>120</v>
      </c>
      <c r="F104" s="3" t="s">
        <v>6</v>
      </c>
      <c r="G104" s="3"/>
      <c r="H104" s="6" t="s">
        <v>101</v>
      </c>
      <c r="I104" s="6" t="s">
        <v>14</v>
      </c>
      <c r="J104" s="5">
        <v>45407.158333333333</v>
      </c>
      <c r="K104" s="7">
        <f t="shared" si="1"/>
        <v>4.8611111124046147E-3</v>
      </c>
    </row>
    <row r="105" spans="1:11" x14ac:dyDescent="0.25">
      <c r="A105" s="5">
        <v>45407.154166666667</v>
      </c>
      <c r="B105" s="3" t="s">
        <v>4</v>
      </c>
      <c r="C105" s="3">
        <v>10000011130</v>
      </c>
      <c r="D105" s="3" t="s">
        <v>17</v>
      </c>
      <c r="E105" s="3" t="s">
        <v>15</v>
      </c>
      <c r="F105" s="3" t="s">
        <v>6</v>
      </c>
      <c r="G105" s="3"/>
      <c r="H105" s="6" t="s">
        <v>101</v>
      </c>
      <c r="I105" s="6" t="s">
        <v>14</v>
      </c>
      <c r="J105" s="5">
        <v>45407.158333333333</v>
      </c>
      <c r="K105" s="7">
        <f t="shared" si="1"/>
        <v>4.166666665696539E-3</v>
      </c>
    </row>
    <row r="106" spans="1:11" x14ac:dyDescent="0.25">
      <c r="A106" s="5">
        <v>45407.183333333334</v>
      </c>
      <c r="B106" s="3" t="s">
        <v>4</v>
      </c>
      <c r="C106" s="3">
        <v>10000011130</v>
      </c>
      <c r="D106" s="3" t="s">
        <v>17</v>
      </c>
      <c r="E106" s="3" t="s">
        <v>15</v>
      </c>
      <c r="F106" s="3" t="s">
        <v>6</v>
      </c>
      <c r="G106" s="3"/>
      <c r="H106" s="6" t="s">
        <v>42</v>
      </c>
      <c r="I106" s="6" t="s">
        <v>13</v>
      </c>
      <c r="J106" s="5">
        <v>45407.320833333331</v>
      </c>
      <c r="K106" s="7">
        <f t="shared" si="1"/>
        <v>0.13749999999708962</v>
      </c>
    </row>
    <row r="107" spans="1:11" x14ac:dyDescent="0.25">
      <c r="A107" s="5">
        <v>45407.512499999997</v>
      </c>
      <c r="B107" s="3" t="s">
        <v>4</v>
      </c>
      <c r="C107" s="3">
        <v>10000011130</v>
      </c>
      <c r="D107" s="3" t="s">
        <v>17</v>
      </c>
      <c r="E107" s="3" t="s">
        <v>15</v>
      </c>
      <c r="F107" s="3" t="s">
        <v>6</v>
      </c>
      <c r="G107" s="3"/>
      <c r="H107" s="6" t="s">
        <v>157</v>
      </c>
      <c r="I107" s="6" t="s">
        <v>14</v>
      </c>
      <c r="J107" s="5">
        <v>45407.521527777775</v>
      </c>
      <c r="K107" s="7">
        <f t="shared" si="1"/>
        <v>9.0277777781011537E-3</v>
      </c>
    </row>
    <row r="108" spans="1:11" x14ac:dyDescent="0.25">
      <c r="A108" s="5">
        <v>45409.811805555553</v>
      </c>
      <c r="B108" s="3" t="s">
        <v>4</v>
      </c>
      <c r="C108" s="3">
        <v>10000011130</v>
      </c>
      <c r="D108" s="3" t="s">
        <v>17</v>
      </c>
      <c r="E108" s="3" t="s">
        <v>15</v>
      </c>
      <c r="F108" s="3" t="s">
        <v>6</v>
      </c>
      <c r="G108" s="3"/>
      <c r="H108" s="6" t="s">
        <v>158</v>
      </c>
      <c r="I108" s="6" t="s">
        <v>13</v>
      </c>
      <c r="J108" s="5">
        <v>45409.813194444447</v>
      </c>
      <c r="K108" s="7">
        <f t="shared" si="1"/>
        <v>1.3888888934161514E-3</v>
      </c>
    </row>
    <row r="109" spans="1:11" x14ac:dyDescent="0.25">
      <c r="A109" s="5">
        <v>45410.59097222222</v>
      </c>
      <c r="B109" s="3" t="s">
        <v>4</v>
      </c>
      <c r="C109" s="3">
        <v>10000379897</v>
      </c>
      <c r="D109" s="3" t="s">
        <v>10</v>
      </c>
      <c r="E109" s="3" t="s">
        <v>122</v>
      </c>
      <c r="F109" s="3" t="s">
        <v>6</v>
      </c>
      <c r="G109" s="3"/>
      <c r="H109" s="6" t="s">
        <v>42</v>
      </c>
      <c r="I109" s="6" t="s">
        <v>13</v>
      </c>
      <c r="J109" s="5">
        <v>45410.89166666667</v>
      </c>
      <c r="K109" s="7">
        <f t="shared" si="1"/>
        <v>0.30069444444961846</v>
      </c>
    </row>
    <row r="110" spans="1:11" x14ac:dyDescent="0.25">
      <c r="A110" s="5">
        <v>45410.595138888886</v>
      </c>
      <c r="B110" s="3" t="s">
        <v>4</v>
      </c>
      <c r="C110" s="3">
        <v>10000011130</v>
      </c>
      <c r="D110" s="3" t="s">
        <v>17</v>
      </c>
      <c r="E110" s="3" t="s">
        <v>15</v>
      </c>
      <c r="F110" s="3" t="s">
        <v>6</v>
      </c>
      <c r="G110" s="3"/>
      <c r="H110" s="6" t="s">
        <v>158</v>
      </c>
      <c r="I110" s="6" t="s">
        <v>13</v>
      </c>
      <c r="J110" s="5">
        <v>45410.606944444444</v>
      </c>
      <c r="K110" s="7">
        <f t="shared" si="1"/>
        <v>1.1805555557657499E-2</v>
      </c>
    </row>
    <row r="111" spans="1:11" x14ac:dyDescent="0.25">
      <c r="A111" s="5">
        <v>45411.040972222225</v>
      </c>
      <c r="B111" s="3" t="s">
        <v>159</v>
      </c>
      <c r="C111" s="3">
        <v>10000011130</v>
      </c>
      <c r="D111" s="3" t="s">
        <v>17</v>
      </c>
      <c r="E111" s="3" t="s">
        <v>15</v>
      </c>
      <c r="F111" s="3" t="s">
        <v>6</v>
      </c>
      <c r="G111" s="3"/>
      <c r="H111" s="6" t="s">
        <v>42</v>
      </c>
      <c r="I111" s="6" t="s">
        <v>13</v>
      </c>
      <c r="J111" s="5">
        <v>45411.12222222222</v>
      </c>
      <c r="K111" s="7">
        <f t="shared" si="1"/>
        <v>8.1249999995634425E-2</v>
      </c>
    </row>
    <row r="112" spans="1:11" x14ac:dyDescent="0.25">
      <c r="A112" s="5">
        <v>45411.049305555556</v>
      </c>
      <c r="B112" s="3" t="s">
        <v>4</v>
      </c>
      <c r="C112" s="3">
        <v>7808270001</v>
      </c>
      <c r="D112" s="3" t="s">
        <v>9</v>
      </c>
      <c r="E112" s="3" t="s">
        <v>37</v>
      </c>
      <c r="F112" s="3" t="s">
        <v>6</v>
      </c>
      <c r="G112" s="3"/>
      <c r="H112" s="6" t="s">
        <v>101</v>
      </c>
      <c r="I112" s="6" t="s">
        <v>14</v>
      </c>
      <c r="J112" s="5">
        <v>45411.050694444442</v>
      </c>
      <c r="K112" s="7">
        <f t="shared" si="1"/>
        <v>1.3888888861401938E-3</v>
      </c>
    </row>
    <row r="113" spans="1:11" x14ac:dyDescent="0.25">
      <c r="A113" s="5">
        <v>45411.380555555559</v>
      </c>
      <c r="B113" s="3" t="s">
        <v>4</v>
      </c>
      <c r="C113" s="3">
        <v>10000577752</v>
      </c>
      <c r="D113" s="3" t="s">
        <v>9</v>
      </c>
      <c r="E113" s="3" t="s">
        <v>21</v>
      </c>
      <c r="F113" s="3" t="s">
        <v>6</v>
      </c>
      <c r="G113" s="3"/>
      <c r="H113" s="6" t="s">
        <v>42</v>
      </c>
      <c r="I113" s="6" t="s">
        <v>13</v>
      </c>
      <c r="J113" s="5">
        <v>45411.454861111109</v>
      </c>
      <c r="K113" s="7">
        <f t="shared" si="1"/>
        <v>7.4305555550381541E-2</v>
      </c>
    </row>
    <row r="114" spans="1:11" x14ac:dyDescent="0.25">
      <c r="A114" s="5">
        <v>45411.478472222225</v>
      </c>
      <c r="B114" s="3" t="s">
        <v>4</v>
      </c>
      <c r="C114" s="3">
        <v>10000347457</v>
      </c>
      <c r="D114" s="3" t="s">
        <v>9</v>
      </c>
      <c r="E114" s="3" t="s">
        <v>93</v>
      </c>
      <c r="F114" s="3" t="s">
        <v>6</v>
      </c>
      <c r="G114" s="3"/>
      <c r="H114" s="6" t="s">
        <v>42</v>
      </c>
      <c r="I114" s="6" t="s">
        <v>13</v>
      </c>
      <c r="J114" s="5">
        <v>45411.532638888886</v>
      </c>
      <c r="K114" s="7">
        <f t="shared" si="1"/>
        <v>5.4166666661330964E-2</v>
      </c>
    </row>
    <row r="115" spans="1:11" x14ac:dyDescent="0.25">
      <c r="A115" s="5">
        <v>45411.479861111111</v>
      </c>
      <c r="B115" s="3" t="s">
        <v>4</v>
      </c>
      <c r="C115" s="3">
        <v>10000009996</v>
      </c>
      <c r="D115" s="3" t="s">
        <v>9</v>
      </c>
      <c r="E115" s="3" t="s">
        <v>92</v>
      </c>
      <c r="F115" s="3" t="s">
        <v>6</v>
      </c>
      <c r="G115" s="3"/>
      <c r="H115" s="6" t="s">
        <v>42</v>
      </c>
      <c r="I115" s="6" t="s">
        <v>13</v>
      </c>
      <c r="J115" s="5">
        <v>45411.507638888892</v>
      </c>
      <c r="K115" s="7">
        <f t="shared" si="1"/>
        <v>2.7777777781011537E-2</v>
      </c>
    </row>
    <row r="116" spans="1:11" x14ac:dyDescent="0.25">
      <c r="A116" s="5">
        <v>45411.479861111111</v>
      </c>
      <c r="B116" s="3" t="s">
        <v>4</v>
      </c>
      <c r="C116" s="3">
        <v>10000058627</v>
      </c>
      <c r="D116" s="3" t="s">
        <v>9</v>
      </c>
      <c r="E116" s="3" t="s">
        <v>160</v>
      </c>
      <c r="F116" s="3" t="s">
        <v>6</v>
      </c>
      <c r="G116" s="3"/>
      <c r="H116" s="6" t="s">
        <v>161</v>
      </c>
      <c r="I116" s="6" t="s">
        <v>14</v>
      </c>
      <c r="J116" s="5">
        <v>45411.488194444442</v>
      </c>
      <c r="K116" s="7">
        <f t="shared" si="1"/>
        <v>8.333333331393078E-3</v>
      </c>
    </row>
    <row r="117" spans="1:11" x14ac:dyDescent="0.25">
      <c r="A117" s="5">
        <v>45411.479861111111</v>
      </c>
      <c r="B117" s="3" t="s">
        <v>162</v>
      </c>
      <c r="C117" s="3">
        <v>7853300001</v>
      </c>
      <c r="D117" s="3" t="s">
        <v>9</v>
      </c>
      <c r="E117" s="3" t="s">
        <v>19</v>
      </c>
      <c r="F117" s="3" t="s">
        <v>6</v>
      </c>
      <c r="G117" s="3"/>
      <c r="H117" s="6" t="s">
        <v>161</v>
      </c>
      <c r="I117" s="6" t="s">
        <v>14</v>
      </c>
      <c r="J117" s="5">
        <v>45411.487500000003</v>
      </c>
      <c r="K117" s="7">
        <f t="shared" si="1"/>
        <v>7.6388888919609599E-3</v>
      </c>
    </row>
    <row r="118" spans="1:11" x14ac:dyDescent="0.25">
      <c r="A118" s="5">
        <v>45411.547222222223</v>
      </c>
      <c r="B118" s="3" t="s">
        <v>4</v>
      </c>
      <c r="C118" s="3">
        <v>10000577752</v>
      </c>
      <c r="D118" s="3" t="s">
        <v>9</v>
      </c>
      <c r="E118" s="3" t="s">
        <v>21</v>
      </c>
      <c r="F118" s="3" t="s">
        <v>6</v>
      </c>
      <c r="G118" s="3"/>
      <c r="H118" s="6" t="s">
        <v>42</v>
      </c>
      <c r="I118" s="6" t="s">
        <v>13</v>
      </c>
      <c r="J118" s="5">
        <v>45412.398611111108</v>
      </c>
      <c r="K118" s="7">
        <f t="shared" si="1"/>
        <v>0.851388888884685</v>
      </c>
    </row>
    <row r="119" spans="1:11" x14ac:dyDescent="0.25">
      <c r="A119" s="5">
        <v>45411.55972222222</v>
      </c>
      <c r="B119" s="3" t="s">
        <v>4</v>
      </c>
      <c r="C119" s="3">
        <v>10000058627</v>
      </c>
      <c r="D119" s="3" t="s">
        <v>9</v>
      </c>
      <c r="E119" s="3" t="s">
        <v>160</v>
      </c>
      <c r="F119" s="3" t="s">
        <v>6</v>
      </c>
      <c r="G119" s="3"/>
      <c r="H119" s="6" t="s">
        <v>161</v>
      </c>
      <c r="I119" s="6" t="s">
        <v>14</v>
      </c>
      <c r="J119" s="5">
        <v>45411.561805555553</v>
      </c>
      <c r="K119" s="7">
        <f t="shared" si="1"/>
        <v>2.0833333328482695E-3</v>
      </c>
    </row>
    <row r="120" spans="1:11" x14ac:dyDescent="0.25">
      <c r="A120" s="5">
        <v>45411.560416666667</v>
      </c>
      <c r="B120" s="3" t="s">
        <v>4</v>
      </c>
      <c r="C120" s="3">
        <v>7853300001</v>
      </c>
      <c r="D120" s="3" t="s">
        <v>9</v>
      </c>
      <c r="E120" s="3" t="s">
        <v>19</v>
      </c>
      <c r="F120" s="3" t="s">
        <v>6</v>
      </c>
      <c r="G120" s="3"/>
      <c r="H120" s="6" t="s">
        <v>161</v>
      </c>
      <c r="I120" s="6" t="s">
        <v>14</v>
      </c>
      <c r="J120" s="5">
        <v>45411.561805555553</v>
      </c>
      <c r="K120" s="7">
        <f t="shared" si="1"/>
        <v>1.3888888861401938E-3</v>
      </c>
    </row>
    <row r="121" spans="1:11" ht="30" x14ac:dyDescent="0.25">
      <c r="A121" s="5">
        <v>45411.570138888892</v>
      </c>
      <c r="B121" s="3" t="s">
        <v>163</v>
      </c>
      <c r="C121" s="3">
        <v>10000000824</v>
      </c>
      <c r="D121" s="3" t="s">
        <v>9</v>
      </c>
      <c r="E121" s="3" t="s">
        <v>149</v>
      </c>
      <c r="F121" s="3" t="s">
        <v>6</v>
      </c>
      <c r="G121" s="3"/>
      <c r="H121" s="6" t="s">
        <v>164</v>
      </c>
      <c r="I121" s="6" t="s">
        <v>14</v>
      </c>
      <c r="J121" s="5">
        <v>45411.57916666667</v>
      </c>
      <c r="K121" s="7">
        <f t="shared" si="1"/>
        <v>9.0277777781011537E-3</v>
      </c>
    </row>
    <row r="122" spans="1:11" x14ac:dyDescent="0.25">
      <c r="A122" s="5">
        <v>45411.707638888889</v>
      </c>
      <c r="B122" s="3" t="s">
        <v>4</v>
      </c>
      <c r="C122" s="3">
        <v>10000347457</v>
      </c>
      <c r="D122" s="3" t="s">
        <v>9</v>
      </c>
      <c r="E122" s="3" t="s">
        <v>93</v>
      </c>
      <c r="F122" s="3" t="s">
        <v>6</v>
      </c>
      <c r="G122" s="3"/>
      <c r="H122" s="6" t="s">
        <v>42</v>
      </c>
      <c r="I122" s="6" t="s">
        <v>13</v>
      </c>
      <c r="J122" s="5">
        <v>45411.707638888889</v>
      </c>
      <c r="K122" s="7">
        <f t="shared" si="1"/>
        <v>0</v>
      </c>
    </row>
    <row r="123" spans="1:11" x14ac:dyDescent="0.25">
      <c r="A123" s="5">
        <v>45411.710416666669</v>
      </c>
      <c r="B123" s="3" t="s">
        <v>4</v>
      </c>
      <c r="C123" s="3">
        <v>7853300001</v>
      </c>
      <c r="D123" s="3" t="s">
        <v>9</v>
      </c>
      <c r="E123" s="3" t="s">
        <v>19</v>
      </c>
      <c r="F123" s="3" t="s">
        <v>6</v>
      </c>
      <c r="G123" s="3"/>
      <c r="H123" s="6" t="s">
        <v>161</v>
      </c>
      <c r="I123" s="6" t="s">
        <v>14</v>
      </c>
      <c r="J123" s="5">
        <v>45411.821527777778</v>
      </c>
      <c r="K123" s="7">
        <f t="shared" si="1"/>
        <v>0.11111111110949423</v>
      </c>
    </row>
    <row r="124" spans="1:11" x14ac:dyDescent="0.25">
      <c r="A124" s="5">
        <v>45411.712500000001</v>
      </c>
      <c r="B124" s="3" t="s">
        <v>4</v>
      </c>
      <c r="C124" s="3">
        <v>10000058627</v>
      </c>
      <c r="D124" s="3" t="s">
        <v>9</v>
      </c>
      <c r="E124" s="3" t="s">
        <v>160</v>
      </c>
      <c r="F124" s="3" t="s">
        <v>6</v>
      </c>
      <c r="G124" s="3"/>
      <c r="H124" s="6" t="s">
        <v>161</v>
      </c>
      <c r="I124" s="6" t="s">
        <v>14</v>
      </c>
      <c r="J124" s="5">
        <v>45411.821527777778</v>
      </c>
      <c r="K124" s="7">
        <f t="shared" si="1"/>
        <v>0.10902777777664596</v>
      </c>
    </row>
    <row r="125" spans="1:11" x14ac:dyDescent="0.25">
      <c r="A125" s="5">
        <v>45411.801388888889</v>
      </c>
      <c r="B125" s="3" t="s">
        <v>4</v>
      </c>
      <c r="C125" s="3">
        <v>10000002550</v>
      </c>
      <c r="D125" s="3" t="s">
        <v>9</v>
      </c>
      <c r="E125" s="3" t="s">
        <v>165</v>
      </c>
      <c r="F125" s="3" t="s">
        <v>6</v>
      </c>
      <c r="G125" s="3"/>
      <c r="H125" s="6" t="s">
        <v>166</v>
      </c>
      <c r="I125" s="6" t="s">
        <v>13</v>
      </c>
      <c r="J125" s="5">
        <v>45411.930555555555</v>
      </c>
      <c r="K125" s="7">
        <f t="shared" si="1"/>
        <v>0.12916666666569654</v>
      </c>
    </row>
    <row r="126" spans="1:11" x14ac:dyDescent="0.25">
      <c r="A126" s="5">
        <v>45412.106944444444</v>
      </c>
      <c r="B126" s="3" t="s">
        <v>4</v>
      </c>
      <c r="C126" s="3">
        <v>6999100001</v>
      </c>
      <c r="D126" s="3" t="s">
        <v>10</v>
      </c>
      <c r="E126" s="3" t="s">
        <v>95</v>
      </c>
      <c r="F126" s="3" t="s">
        <v>6</v>
      </c>
      <c r="G126" s="3"/>
      <c r="H126" s="6" t="s">
        <v>167</v>
      </c>
      <c r="I126" s="6" t="s">
        <v>14</v>
      </c>
      <c r="J126" s="5">
        <v>45412.111805555556</v>
      </c>
      <c r="K126" s="7">
        <f t="shared" si="1"/>
        <v>4.8611111124046147E-3</v>
      </c>
    </row>
    <row r="127" spans="1:11" x14ac:dyDescent="0.25">
      <c r="A127" s="5">
        <v>45412.566666666666</v>
      </c>
      <c r="B127" s="3" t="s">
        <v>4</v>
      </c>
      <c r="C127" s="3">
        <v>10000009996</v>
      </c>
      <c r="D127" s="3" t="s">
        <v>9</v>
      </c>
      <c r="E127" s="3" t="s">
        <v>92</v>
      </c>
      <c r="F127" s="3" t="s">
        <v>6</v>
      </c>
      <c r="G127" s="3"/>
      <c r="H127" s="6" t="s">
        <v>42</v>
      </c>
      <c r="I127" s="6" t="s">
        <v>13</v>
      </c>
      <c r="J127" s="5">
        <v>45412.575694444444</v>
      </c>
      <c r="K127" s="7">
        <f t="shared" si="1"/>
        <v>9.0277777781011537E-3</v>
      </c>
    </row>
    <row r="128" spans="1:11" x14ac:dyDescent="0.25">
      <c r="A128" s="5">
        <v>45412.568749999999</v>
      </c>
      <c r="B128" s="3" t="s">
        <v>4</v>
      </c>
      <c r="C128" s="3">
        <v>10000347457</v>
      </c>
      <c r="D128" s="3" t="s">
        <v>9</v>
      </c>
      <c r="E128" s="3" t="s">
        <v>93</v>
      </c>
      <c r="F128" s="3" t="s">
        <v>6</v>
      </c>
      <c r="G128" s="3"/>
      <c r="H128" s="6" t="s">
        <v>42</v>
      </c>
      <c r="I128" s="6" t="s">
        <v>13</v>
      </c>
      <c r="J128" s="5">
        <v>45412.577777777777</v>
      </c>
      <c r="K128" s="7">
        <f t="shared" si="1"/>
        <v>9.0277777781011537E-3</v>
      </c>
    </row>
    <row r="129" spans="1:11" x14ac:dyDescent="0.25">
      <c r="A129" s="5">
        <v>45412.591666666667</v>
      </c>
      <c r="B129" s="3" t="s">
        <v>168</v>
      </c>
      <c r="C129" s="3">
        <v>7810530001</v>
      </c>
      <c r="D129" s="3" t="s">
        <v>9</v>
      </c>
      <c r="E129" s="3" t="s">
        <v>26</v>
      </c>
      <c r="F129" s="3" t="s">
        <v>6</v>
      </c>
      <c r="G129" s="3"/>
      <c r="H129" s="6" t="s">
        <v>169</v>
      </c>
      <c r="I129" s="6" t="s">
        <v>14</v>
      </c>
      <c r="J129" s="5">
        <v>45413.579861111109</v>
      </c>
      <c r="K129" s="7">
        <f t="shared" si="1"/>
        <v>0.9881944444423425</v>
      </c>
    </row>
    <row r="130" spans="1:11" x14ac:dyDescent="0.25">
      <c r="A130" s="5">
        <v>45412.65</v>
      </c>
      <c r="B130" s="3" t="s">
        <v>4</v>
      </c>
      <c r="C130" s="3">
        <v>10000009996</v>
      </c>
      <c r="D130" s="3" t="s">
        <v>9</v>
      </c>
      <c r="E130" s="3" t="s">
        <v>92</v>
      </c>
      <c r="F130" s="3" t="s">
        <v>6</v>
      </c>
      <c r="G130" s="3"/>
      <c r="H130" s="6" t="s">
        <v>42</v>
      </c>
      <c r="I130" s="6" t="s">
        <v>13</v>
      </c>
      <c r="J130" s="5">
        <v>45412.650694444441</v>
      </c>
      <c r="K130" s="7">
        <f t="shared" si="1"/>
        <v>6.9444443943211809E-4</v>
      </c>
    </row>
    <row r="131" spans="1:11" x14ac:dyDescent="0.25">
      <c r="A131" s="5">
        <v>45412.802777777775</v>
      </c>
      <c r="B131" s="3" t="s">
        <v>4</v>
      </c>
      <c r="C131" s="3">
        <v>10000058627</v>
      </c>
      <c r="D131" s="3" t="s">
        <v>9</v>
      </c>
      <c r="E131" s="3" t="s">
        <v>160</v>
      </c>
      <c r="F131" s="3" t="s">
        <v>6</v>
      </c>
      <c r="G131" s="3"/>
      <c r="H131" s="6" t="s">
        <v>101</v>
      </c>
      <c r="I131" s="6" t="s">
        <v>14</v>
      </c>
      <c r="J131" s="5">
        <v>45412.804861111108</v>
      </c>
      <c r="K131" s="7">
        <f t="shared" si="1"/>
        <v>2.0833333328482695E-3</v>
      </c>
    </row>
    <row r="132" spans="1:11" x14ac:dyDescent="0.25">
      <c r="A132" s="5">
        <v>45412.802777777775</v>
      </c>
      <c r="B132" s="3" t="s">
        <v>4</v>
      </c>
      <c r="C132" s="3">
        <v>7853300001</v>
      </c>
      <c r="D132" s="3" t="s">
        <v>9</v>
      </c>
      <c r="E132" s="3" t="s">
        <v>19</v>
      </c>
      <c r="F132" s="3" t="s">
        <v>6</v>
      </c>
      <c r="G132" s="3"/>
      <c r="H132" s="6" t="s">
        <v>101</v>
      </c>
      <c r="I132" s="6" t="s">
        <v>14</v>
      </c>
      <c r="J132" s="5">
        <v>45412.805555555555</v>
      </c>
      <c r="K132" s="7">
        <f t="shared" si="1"/>
        <v>2.7777777795563452E-3</v>
      </c>
    </row>
    <row r="133" spans="1:11" x14ac:dyDescent="0.25">
      <c r="A133" s="5">
        <v>45414.696527777778</v>
      </c>
      <c r="B133" s="3" t="s">
        <v>4</v>
      </c>
      <c r="C133" s="3">
        <v>10000577752</v>
      </c>
      <c r="D133" s="3" t="s">
        <v>9</v>
      </c>
      <c r="E133" s="3" t="s">
        <v>21</v>
      </c>
      <c r="F133" s="3" t="s">
        <v>6</v>
      </c>
      <c r="G133" s="3"/>
      <c r="H133" s="6" t="s">
        <v>42</v>
      </c>
      <c r="I133" s="6" t="s">
        <v>13</v>
      </c>
      <c r="J133" s="5">
        <v>45414.697222222225</v>
      </c>
      <c r="K133" s="7">
        <f t="shared" ref="K133:K196" si="2">J133-A133</f>
        <v>6.944444467080757E-4</v>
      </c>
    </row>
    <row r="134" spans="1:11" x14ac:dyDescent="0.25">
      <c r="A134" s="5">
        <v>45415.595138888886</v>
      </c>
      <c r="B134" s="3" t="s">
        <v>4</v>
      </c>
      <c r="C134" s="3">
        <v>10000577752</v>
      </c>
      <c r="D134" s="3" t="s">
        <v>9</v>
      </c>
      <c r="E134" s="3" t="s">
        <v>21</v>
      </c>
      <c r="F134" s="3" t="s">
        <v>6</v>
      </c>
      <c r="G134" s="3"/>
      <c r="H134" s="6" t="s">
        <v>42</v>
      </c>
      <c r="I134" s="6" t="s">
        <v>13</v>
      </c>
      <c r="J134" s="5">
        <v>45415.595138888886</v>
      </c>
      <c r="K134" s="7">
        <f t="shared" si="2"/>
        <v>0</v>
      </c>
    </row>
    <row r="135" spans="1:11" x14ac:dyDescent="0.25">
      <c r="A135" s="5">
        <v>45418.943055555559</v>
      </c>
      <c r="B135" s="3" t="s">
        <v>4</v>
      </c>
      <c r="C135" s="3">
        <v>7810530001</v>
      </c>
      <c r="D135" s="3" t="s">
        <v>9</v>
      </c>
      <c r="E135" s="3" t="s">
        <v>26</v>
      </c>
      <c r="F135" s="3" t="s">
        <v>6</v>
      </c>
      <c r="G135" s="3"/>
      <c r="H135" s="6" t="s">
        <v>101</v>
      </c>
      <c r="I135" s="6" t="s">
        <v>14</v>
      </c>
      <c r="J135" s="5">
        <v>45419.164583333331</v>
      </c>
      <c r="K135" s="7">
        <f t="shared" si="2"/>
        <v>0.22152777777228039</v>
      </c>
    </row>
    <row r="136" spans="1:11" x14ac:dyDescent="0.25">
      <c r="A136" s="5">
        <v>45419.34375</v>
      </c>
      <c r="B136" s="3" t="s">
        <v>4</v>
      </c>
      <c r="C136" s="3">
        <v>10000581651</v>
      </c>
      <c r="D136" s="3" t="s">
        <v>10</v>
      </c>
      <c r="E136" s="3" t="s">
        <v>144</v>
      </c>
      <c r="F136" s="3" t="s">
        <v>170</v>
      </c>
      <c r="G136" s="3"/>
      <c r="H136" s="6" t="s">
        <v>171</v>
      </c>
      <c r="I136" s="6" t="s">
        <v>13</v>
      </c>
      <c r="J136" s="5">
        <v>45419.554861111108</v>
      </c>
      <c r="K136" s="7">
        <f t="shared" si="2"/>
        <v>0.21111111110803904</v>
      </c>
    </row>
    <row r="137" spans="1:11" x14ac:dyDescent="0.25">
      <c r="A137" s="5">
        <v>45419.467361111114</v>
      </c>
      <c r="B137" s="3" t="s">
        <v>4</v>
      </c>
      <c r="C137" s="3">
        <v>10000017699</v>
      </c>
      <c r="D137" s="3" t="s">
        <v>10</v>
      </c>
      <c r="E137" s="3" t="s">
        <v>144</v>
      </c>
      <c r="F137" s="3" t="s">
        <v>6</v>
      </c>
      <c r="G137" s="3"/>
      <c r="H137" s="6" t="s">
        <v>171</v>
      </c>
      <c r="I137" s="6" t="s">
        <v>13</v>
      </c>
      <c r="J137" s="5">
        <v>45419.473611111112</v>
      </c>
      <c r="K137" s="7">
        <f t="shared" si="2"/>
        <v>6.2499999985448085E-3</v>
      </c>
    </row>
    <row r="138" spans="1:11" x14ac:dyDescent="0.25">
      <c r="A138" s="5">
        <v>45419.679861111108</v>
      </c>
      <c r="B138" s="3" t="s">
        <v>172</v>
      </c>
      <c r="C138" s="3">
        <v>6999100001</v>
      </c>
      <c r="D138" s="3" t="s">
        <v>10</v>
      </c>
      <c r="E138" s="3" t="s">
        <v>95</v>
      </c>
      <c r="F138" s="3" t="s">
        <v>6</v>
      </c>
      <c r="G138" s="3"/>
      <c r="H138" s="6" t="s">
        <v>173</v>
      </c>
      <c r="I138" s="6" t="s">
        <v>14</v>
      </c>
      <c r="J138" s="5">
        <v>45421.490277777775</v>
      </c>
      <c r="K138" s="7">
        <f t="shared" si="2"/>
        <v>1.8104166666671517</v>
      </c>
    </row>
    <row r="139" spans="1:11" x14ac:dyDescent="0.25">
      <c r="A139" s="5">
        <v>45422.368055555555</v>
      </c>
      <c r="B139" s="3" t="s">
        <v>4</v>
      </c>
      <c r="C139" s="3">
        <v>10000058627</v>
      </c>
      <c r="D139" s="3" t="s">
        <v>9</v>
      </c>
      <c r="E139" s="3" t="s">
        <v>160</v>
      </c>
      <c r="F139" s="3" t="s">
        <v>6</v>
      </c>
      <c r="G139" s="3"/>
      <c r="H139" s="6" t="s">
        <v>101</v>
      </c>
      <c r="I139" s="6" t="s">
        <v>14</v>
      </c>
      <c r="J139" s="5">
        <v>45422.373611111114</v>
      </c>
      <c r="K139" s="7">
        <f t="shared" si="2"/>
        <v>5.5555555591126904E-3</v>
      </c>
    </row>
    <row r="140" spans="1:11" x14ac:dyDescent="0.25">
      <c r="A140" s="5">
        <v>45422.368750000001</v>
      </c>
      <c r="B140" s="3" t="s">
        <v>4</v>
      </c>
      <c r="C140" s="3">
        <v>7853300001</v>
      </c>
      <c r="D140" s="3" t="s">
        <v>9</v>
      </c>
      <c r="E140" s="3" t="s">
        <v>19</v>
      </c>
      <c r="F140" s="3" t="s">
        <v>6</v>
      </c>
      <c r="G140" s="3"/>
      <c r="H140" s="6" t="s">
        <v>101</v>
      </c>
      <c r="I140" s="6" t="s">
        <v>14</v>
      </c>
      <c r="J140" s="5">
        <v>45422.372916666667</v>
      </c>
      <c r="K140" s="7">
        <f t="shared" si="2"/>
        <v>4.166666665696539E-3</v>
      </c>
    </row>
    <row r="141" spans="1:11" x14ac:dyDescent="0.25">
      <c r="A141" s="5">
        <v>45422.40347222222</v>
      </c>
      <c r="B141" s="3" t="s">
        <v>4</v>
      </c>
      <c r="C141" s="3">
        <v>10000058627</v>
      </c>
      <c r="D141" s="3" t="s">
        <v>9</v>
      </c>
      <c r="E141" s="3" t="s">
        <v>160</v>
      </c>
      <c r="F141" s="3" t="s">
        <v>6</v>
      </c>
      <c r="G141" s="3"/>
      <c r="H141" s="6" t="s">
        <v>101</v>
      </c>
      <c r="I141" s="6" t="s">
        <v>14</v>
      </c>
      <c r="J141" s="5">
        <v>45422.408333333333</v>
      </c>
      <c r="K141" s="7">
        <f t="shared" si="2"/>
        <v>4.8611111124046147E-3</v>
      </c>
    </row>
    <row r="142" spans="1:11" x14ac:dyDescent="0.25">
      <c r="A142" s="5">
        <v>45422.40347222222</v>
      </c>
      <c r="B142" s="3" t="s">
        <v>174</v>
      </c>
      <c r="C142" s="3">
        <v>7853300001</v>
      </c>
      <c r="D142" s="3" t="s">
        <v>9</v>
      </c>
      <c r="E142" s="3" t="s">
        <v>19</v>
      </c>
      <c r="F142" s="3" t="s">
        <v>6</v>
      </c>
      <c r="G142" s="3"/>
      <c r="H142" s="6" t="s">
        <v>101</v>
      </c>
      <c r="I142" s="6" t="s">
        <v>14</v>
      </c>
      <c r="J142" s="5">
        <v>45422.407638888886</v>
      </c>
      <c r="K142" s="7">
        <f t="shared" si="2"/>
        <v>4.166666665696539E-3</v>
      </c>
    </row>
    <row r="143" spans="1:11" x14ac:dyDescent="0.25">
      <c r="A143" s="5">
        <v>45422.479166666664</v>
      </c>
      <c r="B143" s="3" t="s">
        <v>175</v>
      </c>
      <c r="C143" s="3">
        <v>10000583588</v>
      </c>
      <c r="D143" s="3" t="s">
        <v>45</v>
      </c>
      <c r="E143" s="3" t="s">
        <v>44</v>
      </c>
      <c r="F143" s="3" t="s">
        <v>57</v>
      </c>
      <c r="G143" s="3"/>
      <c r="H143" s="6" t="s">
        <v>176</v>
      </c>
      <c r="I143" s="6" t="s">
        <v>14</v>
      </c>
      <c r="J143" s="5">
        <v>45422.578472222223</v>
      </c>
      <c r="K143" s="7">
        <f t="shared" si="2"/>
        <v>9.930555555911269E-2</v>
      </c>
    </row>
    <row r="144" spans="1:11" x14ac:dyDescent="0.25">
      <c r="A144" s="5">
        <v>45422.584722222222</v>
      </c>
      <c r="B144" s="3" t="s">
        <v>4</v>
      </c>
      <c r="C144" s="3">
        <v>10000402765</v>
      </c>
      <c r="D144" s="3" t="s">
        <v>10</v>
      </c>
      <c r="E144" s="3" t="s">
        <v>177</v>
      </c>
      <c r="F144" s="3" t="s">
        <v>6</v>
      </c>
      <c r="G144" s="3"/>
      <c r="H144" s="6" t="s">
        <v>42</v>
      </c>
      <c r="I144" s="6" t="s">
        <v>13</v>
      </c>
      <c r="J144" s="5">
        <v>45422.603472222225</v>
      </c>
      <c r="K144" s="7">
        <f t="shared" si="2"/>
        <v>1.8750000002910383E-2</v>
      </c>
    </row>
    <row r="145" spans="1:11" x14ac:dyDescent="0.25">
      <c r="A145" s="5">
        <v>45422.818055555559</v>
      </c>
      <c r="B145" s="3" t="s">
        <v>4</v>
      </c>
      <c r="C145" s="3">
        <v>7853300001</v>
      </c>
      <c r="D145" s="3" t="s">
        <v>9</v>
      </c>
      <c r="E145" s="3" t="s">
        <v>19</v>
      </c>
      <c r="F145" s="3" t="s">
        <v>6</v>
      </c>
      <c r="G145" s="3"/>
      <c r="H145" s="6" t="s">
        <v>101</v>
      </c>
      <c r="I145" s="6" t="s">
        <v>14</v>
      </c>
      <c r="J145" s="5">
        <v>45422.820833333331</v>
      </c>
      <c r="K145" s="7">
        <f t="shared" si="2"/>
        <v>2.7777777722803876E-3</v>
      </c>
    </row>
    <row r="146" spans="1:11" x14ac:dyDescent="0.25">
      <c r="A146" s="5">
        <v>45422.819444444445</v>
      </c>
      <c r="B146" s="3" t="s">
        <v>4</v>
      </c>
      <c r="C146" s="3">
        <v>10000058627</v>
      </c>
      <c r="D146" s="3" t="s">
        <v>9</v>
      </c>
      <c r="E146" s="3" t="s">
        <v>160</v>
      </c>
      <c r="F146" s="3" t="s">
        <v>6</v>
      </c>
      <c r="G146" s="3"/>
      <c r="H146" s="6" t="s">
        <v>101</v>
      </c>
      <c r="I146" s="6" t="s">
        <v>14</v>
      </c>
      <c r="J146" s="5">
        <v>45422.820138888892</v>
      </c>
      <c r="K146" s="7">
        <f t="shared" si="2"/>
        <v>6.944444467080757E-4</v>
      </c>
    </row>
    <row r="147" spans="1:11" x14ac:dyDescent="0.25">
      <c r="A147" s="5">
        <v>45423.577777777777</v>
      </c>
      <c r="B147" s="3" t="s">
        <v>4</v>
      </c>
      <c r="C147" s="3">
        <v>10000011130</v>
      </c>
      <c r="D147" s="3" t="s">
        <v>17</v>
      </c>
      <c r="E147" s="3" t="s">
        <v>15</v>
      </c>
      <c r="F147" s="3" t="s">
        <v>6</v>
      </c>
      <c r="G147" s="3"/>
      <c r="H147" s="6" t="s">
        <v>178</v>
      </c>
      <c r="I147" s="6" t="s">
        <v>14</v>
      </c>
      <c r="J147" s="5">
        <v>45423.604861111111</v>
      </c>
      <c r="K147" s="7">
        <f t="shared" si="2"/>
        <v>2.7083333334303461E-2</v>
      </c>
    </row>
    <row r="148" spans="1:11" x14ac:dyDescent="0.25">
      <c r="A148" s="5">
        <v>45424.417361111111</v>
      </c>
      <c r="B148" s="3" t="s">
        <v>4</v>
      </c>
      <c r="C148" s="3">
        <v>10000000822</v>
      </c>
      <c r="D148" s="3" t="s">
        <v>9</v>
      </c>
      <c r="E148" s="3" t="s">
        <v>179</v>
      </c>
      <c r="F148" s="3" t="s">
        <v>6</v>
      </c>
      <c r="G148" s="3"/>
      <c r="H148" s="6" t="s">
        <v>42</v>
      </c>
      <c r="I148" s="6" t="s">
        <v>13</v>
      </c>
      <c r="J148" s="5">
        <v>45424.548611111109</v>
      </c>
      <c r="K148" s="7">
        <f t="shared" si="2"/>
        <v>0.13124999999854481</v>
      </c>
    </row>
    <row r="149" spans="1:11" x14ac:dyDescent="0.25">
      <c r="A149" s="5">
        <v>45425.526388888888</v>
      </c>
      <c r="B149" s="3" t="s">
        <v>4</v>
      </c>
      <c r="C149" s="3">
        <v>10000004781</v>
      </c>
      <c r="D149" s="3" t="s">
        <v>45</v>
      </c>
      <c r="E149" s="3" t="s">
        <v>44</v>
      </c>
      <c r="F149" s="3" t="s">
        <v>6</v>
      </c>
      <c r="G149" s="3"/>
      <c r="H149" s="6" t="s">
        <v>180</v>
      </c>
      <c r="I149" s="6" t="s">
        <v>13</v>
      </c>
      <c r="J149" s="5">
        <v>45425.54583333333</v>
      </c>
      <c r="K149" s="7">
        <f t="shared" si="2"/>
        <v>1.9444444442342501E-2</v>
      </c>
    </row>
    <row r="150" spans="1:11" x14ac:dyDescent="0.25">
      <c r="A150" s="5">
        <v>45425.595833333333</v>
      </c>
      <c r="B150" s="3" t="s">
        <v>4</v>
      </c>
      <c r="C150" s="3">
        <v>10000004781</v>
      </c>
      <c r="D150" s="3" t="s">
        <v>45</v>
      </c>
      <c r="E150" s="3" t="s">
        <v>44</v>
      </c>
      <c r="F150" s="3" t="s">
        <v>6</v>
      </c>
      <c r="G150" s="3"/>
      <c r="H150" s="6" t="s">
        <v>180</v>
      </c>
      <c r="I150" s="6" t="s">
        <v>13</v>
      </c>
      <c r="J150" s="5">
        <v>45425.606944444444</v>
      </c>
      <c r="K150" s="7">
        <f t="shared" si="2"/>
        <v>1.1111111110949423E-2</v>
      </c>
    </row>
    <row r="151" spans="1:11" x14ac:dyDescent="0.25">
      <c r="A151" s="5">
        <v>45426.678472222222</v>
      </c>
      <c r="B151" s="3" t="s">
        <v>181</v>
      </c>
      <c r="C151" s="3">
        <v>10000577752</v>
      </c>
      <c r="D151" s="3" t="s">
        <v>9</v>
      </c>
      <c r="E151" s="3" t="s">
        <v>21</v>
      </c>
      <c r="F151" s="3" t="s">
        <v>6</v>
      </c>
      <c r="G151" s="3"/>
      <c r="H151" s="6" t="s">
        <v>182</v>
      </c>
      <c r="I151" s="6" t="s">
        <v>14</v>
      </c>
      <c r="J151" s="5">
        <v>45426.839583333334</v>
      </c>
      <c r="K151" s="7">
        <f t="shared" si="2"/>
        <v>0.16111111111240461</v>
      </c>
    </row>
    <row r="152" spans="1:11" x14ac:dyDescent="0.25">
      <c r="A152" s="5">
        <v>45426.68472222222</v>
      </c>
      <c r="B152" s="3" t="s">
        <v>4</v>
      </c>
      <c r="C152" s="3">
        <v>7800450001</v>
      </c>
      <c r="D152" s="3" t="s">
        <v>10</v>
      </c>
      <c r="E152" s="3" t="s">
        <v>75</v>
      </c>
      <c r="F152" s="3" t="s">
        <v>6</v>
      </c>
      <c r="G152" s="3"/>
      <c r="H152" s="6" t="s">
        <v>183</v>
      </c>
      <c r="I152" s="6" t="s">
        <v>13</v>
      </c>
      <c r="J152" s="5">
        <v>45426.734027777777</v>
      </c>
      <c r="K152" s="7">
        <f t="shared" si="2"/>
        <v>4.9305555556202307E-2</v>
      </c>
    </row>
    <row r="153" spans="1:11" x14ac:dyDescent="0.25">
      <c r="A153" s="5">
        <v>45427.307638888888</v>
      </c>
      <c r="B153" s="3" t="s">
        <v>184</v>
      </c>
      <c r="C153" s="3">
        <v>10000006824</v>
      </c>
      <c r="D153" s="3" t="s">
        <v>104</v>
      </c>
      <c r="E153" s="3" t="s">
        <v>185</v>
      </c>
      <c r="F153" s="3" t="s">
        <v>6</v>
      </c>
      <c r="G153" s="3"/>
      <c r="H153" s="6" t="s">
        <v>186</v>
      </c>
      <c r="I153" s="6" t="s">
        <v>45</v>
      </c>
      <c r="J153" s="5">
        <v>45427.34375</v>
      </c>
      <c r="K153" s="7">
        <f t="shared" si="2"/>
        <v>3.6111111112404615E-2</v>
      </c>
    </row>
    <row r="154" spans="1:11" x14ac:dyDescent="0.25">
      <c r="A154" s="5">
        <v>45427.347222222219</v>
      </c>
      <c r="B154" s="3" t="s">
        <v>4</v>
      </c>
      <c r="C154" s="3">
        <v>10000569561</v>
      </c>
      <c r="D154" s="3" t="s">
        <v>10</v>
      </c>
      <c r="E154" s="3" t="s">
        <v>56</v>
      </c>
      <c r="F154" s="3" t="s">
        <v>6</v>
      </c>
      <c r="G154" s="3"/>
      <c r="H154" s="6" t="s">
        <v>186</v>
      </c>
      <c r="I154" s="6" t="s">
        <v>45</v>
      </c>
      <c r="J154" s="5">
        <v>45427.42083333333</v>
      </c>
      <c r="K154" s="7">
        <f t="shared" si="2"/>
        <v>7.3611111110949423E-2</v>
      </c>
    </row>
    <row r="155" spans="1:11" x14ac:dyDescent="0.25">
      <c r="A155" s="5">
        <v>45427.372916666667</v>
      </c>
      <c r="B155" s="3" t="s">
        <v>187</v>
      </c>
      <c r="C155" s="3">
        <v>10000052781</v>
      </c>
      <c r="D155" s="3" t="s">
        <v>10</v>
      </c>
      <c r="E155" s="3" t="s">
        <v>124</v>
      </c>
      <c r="F155" s="3" t="s">
        <v>6</v>
      </c>
      <c r="G155" s="3"/>
      <c r="H155" s="6" t="s">
        <v>186</v>
      </c>
      <c r="I155" s="6" t="s">
        <v>45</v>
      </c>
      <c r="J155" s="5">
        <v>45427.438194444447</v>
      </c>
      <c r="K155" s="7">
        <f t="shared" si="2"/>
        <v>6.5277777779556345E-2</v>
      </c>
    </row>
    <row r="156" spans="1:11" x14ac:dyDescent="0.25">
      <c r="A156" s="5">
        <v>45427.431944444441</v>
      </c>
      <c r="B156" s="3" t="s">
        <v>4</v>
      </c>
      <c r="C156" s="3">
        <v>10000577752</v>
      </c>
      <c r="D156" s="3" t="s">
        <v>9</v>
      </c>
      <c r="E156" s="3" t="s">
        <v>21</v>
      </c>
      <c r="F156" s="3" t="s">
        <v>6</v>
      </c>
      <c r="G156" s="3"/>
      <c r="H156" s="6" t="s">
        <v>42</v>
      </c>
      <c r="I156" s="6" t="s">
        <v>13</v>
      </c>
      <c r="J156" s="5">
        <v>45427.436805555553</v>
      </c>
      <c r="K156" s="7">
        <f t="shared" si="2"/>
        <v>4.8611111124046147E-3</v>
      </c>
    </row>
    <row r="157" spans="1:11" x14ac:dyDescent="0.25">
      <c r="A157" s="5">
        <v>45427.486111111109</v>
      </c>
      <c r="B157" s="3" t="s">
        <v>4</v>
      </c>
      <c r="C157" s="3">
        <v>7800450001</v>
      </c>
      <c r="D157" s="3" t="s">
        <v>10</v>
      </c>
      <c r="E157" s="3" t="s">
        <v>75</v>
      </c>
      <c r="F157" s="3" t="s">
        <v>6</v>
      </c>
      <c r="G157" s="3"/>
      <c r="H157" s="6" t="s">
        <v>183</v>
      </c>
      <c r="I157" s="6" t="s">
        <v>13</v>
      </c>
      <c r="J157" s="5">
        <v>45427.836111111108</v>
      </c>
      <c r="K157" s="7">
        <f t="shared" si="2"/>
        <v>0.34999999999854481</v>
      </c>
    </row>
    <row r="158" spans="1:11" x14ac:dyDescent="0.25">
      <c r="A158" s="5">
        <v>45427.787499999999</v>
      </c>
      <c r="B158" s="3" t="s">
        <v>4</v>
      </c>
      <c r="C158" s="3">
        <v>10000011130</v>
      </c>
      <c r="D158" s="3" t="s">
        <v>17</v>
      </c>
      <c r="E158" s="3" t="s">
        <v>15</v>
      </c>
      <c r="F158" s="3" t="s">
        <v>6</v>
      </c>
      <c r="G158" s="3"/>
      <c r="H158" s="6" t="s">
        <v>188</v>
      </c>
      <c r="I158" s="6" t="s">
        <v>14</v>
      </c>
      <c r="J158" s="5">
        <v>45427.792361111111</v>
      </c>
      <c r="K158" s="7">
        <f t="shared" si="2"/>
        <v>4.8611111124046147E-3</v>
      </c>
    </row>
    <row r="159" spans="1:11" x14ac:dyDescent="0.25">
      <c r="A159" s="5">
        <v>45427.788888888892</v>
      </c>
      <c r="B159" s="3" t="s">
        <v>4</v>
      </c>
      <c r="C159" s="3">
        <v>7808270001</v>
      </c>
      <c r="D159" s="3" t="s">
        <v>9</v>
      </c>
      <c r="E159" s="3" t="s">
        <v>37</v>
      </c>
      <c r="F159" s="3" t="s">
        <v>6</v>
      </c>
      <c r="G159" s="3"/>
      <c r="H159" s="6" t="s">
        <v>188</v>
      </c>
      <c r="I159" s="6" t="s">
        <v>14</v>
      </c>
      <c r="J159" s="5">
        <v>45427.790277777778</v>
      </c>
      <c r="K159" s="7">
        <f t="shared" si="2"/>
        <v>1.3888888861401938E-3</v>
      </c>
    </row>
    <row r="160" spans="1:11" x14ac:dyDescent="0.25">
      <c r="A160" s="5">
        <v>45427.788888888892</v>
      </c>
      <c r="B160" s="3" t="s">
        <v>4</v>
      </c>
      <c r="C160" s="3">
        <v>7831420001</v>
      </c>
      <c r="D160" s="3" t="s">
        <v>9</v>
      </c>
      <c r="E160" s="3" t="s">
        <v>120</v>
      </c>
      <c r="F160" s="3" t="s">
        <v>6</v>
      </c>
      <c r="G160" s="3"/>
      <c r="H160" s="6" t="s">
        <v>188</v>
      </c>
      <c r="I160" s="6" t="s">
        <v>14</v>
      </c>
      <c r="J160" s="5">
        <v>45427.789583333331</v>
      </c>
      <c r="K160" s="7">
        <f t="shared" si="2"/>
        <v>6.9444443943211809E-4</v>
      </c>
    </row>
    <row r="161" spans="1:11" x14ac:dyDescent="0.25">
      <c r="A161" s="5">
        <v>45427.79791666667</v>
      </c>
      <c r="B161" s="3" t="s">
        <v>4</v>
      </c>
      <c r="C161" s="3">
        <v>10000011130</v>
      </c>
      <c r="D161" s="3" t="s">
        <v>17</v>
      </c>
      <c r="E161" s="3" t="s">
        <v>15</v>
      </c>
      <c r="F161" s="3" t="s">
        <v>6</v>
      </c>
      <c r="G161" s="3"/>
      <c r="H161" s="6" t="s">
        <v>188</v>
      </c>
      <c r="I161" s="6" t="s">
        <v>14</v>
      </c>
      <c r="J161" s="5">
        <v>45427.799305555556</v>
      </c>
      <c r="K161" s="7">
        <f t="shared" si="2"/>
        <v>1.3888888861401938E-3</v>
      </c>
    </row>
    <row r="162" spans="1:11" x14ac:dyDescent="0.25">
      <c r="A162" s="5">
        <v>45427.798611111109</v>
      </c>
      <c r="B162" s="3" t="s">
        <v>4</v>
      </c>
      <c r="C162" s="3">
        <v>7808270001</v>
      </c>
      <c r="D162" s="3" t="s">
        <v>9</v>
      </c>
      <c r="E162" s="3" t="s">
        <v>37</v>
      </c>
      <c r="F162" s="3" t="s">
        <v>6</v>
      </c>
      <c r="G162" s="3"/>
      <c r="H162" s="6" t="s">
        <v>188</v>
      </c>
      <c r="I162" s="6" t="s">
        <v>14</v>
      </c>
      <c r="J162" s="5">
        <v>45427.799305555556</v>
      </c>
      <c r="K162" s="7">
        <f t="shared" si="2"/>
        <v>6.944444467080757E-4</v>
      </c>
    </row>
    <row r="163" spans="1:11" x14ac:dyDescent="0.25">
      <c r="A163" s="5">
        <v>45428.50277777778</v>
      </c>
      <c r="B163" s="3" t="s">
        <v>4</v>
      </c>
      <c r="C163" s="3">
        <v>10000011130</v>
      </c>
      <c r="D163" s="3" t="s">
        <v>17</v>
      </c>
      <c r="E163" s="3" t="s">
        <v>15</v>
      </c>
      <c r="F163" s="3" t="s">
        <v>6</v>
      </c>
      <c r="G163" s="3"/>
      <c r="H163" s="6" t="s">
        <v>157</v>
      </c>
      <c r="I163" s="6" t="s">
        <v>14</v>
      </c>
      <c r="J163" s="5">
        <v>45428.507638888892</v>
      </c>
      <c r="K163" s="7">
        <f t="shared" si="2"/>
        <v>4.8611111124046147E-3</v>
      </c>
    </row>
    <row r="164" spans="1:11" x14ac:dyDescent="0.25">
      <c r="A164" s="5">
        <v>45428.51666666667</v>
      </c>
      <c r="B164" s="3" t="s">
        <v>4</v>
      </c>
      <c r="C164" s="3">
        <v>10000011130</v>
      </c>
      <c r="D164" s="3" t="s">
        <v>17</v>
      </c>
      <c r="E164" s="3" t="s">
        <v>15</v>
      </c>
      <c r="F164" s="3" t="s">
        <v>6</v>
      </c>
      <c r="G164" s="3"/>
      <c r="H164" s="6" t="s">
        <v>157</v>
      </c>
      <c r="I164" s="6" t="s">
        <v>14</v>
      </c>
      <c r="J164" s="5">
        <v>45428.521527777775</v>
      </c>
      <c r="K164" s="7">
        <f t="shared" si="2"/>
        <v>4.8611111051286571E-3</v>
      </c>
    </row>
    <row r="165" spans="1:11" x14ac:dyDescent="0.25">
      <c r="A165" s="5">
        <v>45428.850694444445</v>
      </c>
      <c r="B165" s="3" t="s">
        <v>4</v>
      </c>
      <c r="C165" s="3">
        <v>10000569696</v>
      </c>
      <c r="D165" s="3" t="s">
        <v>134</v>
      </c>
      <c r="E165" s="3" t="s">
        <v>189</v>
      </c>
      <c r="F165" s="3" t="s">
        <v>190</v>
      </c>
      <c r="G165" s="3"/>
      <c r="H165" s="6" t="s">
        <v>191</v>
      </c>
      <c r="I165" s="6" t="s">
        <v>13</v>
      </c>
      <c r="J165" s="5">
        <v>45428.854166666664</v>
      </c>
      <c r="K165" s="7">
        <f t="shared" si="2"/>
        <v>3.4722222189884633E-3</v>
      </c>
    </row>
    <row r="166" spans="1:11" x14ac:dyDescent="0.25">
      <c r="A166" s="5">
        <v>45428.875</v>
      </c>
      <c r="B166" s="3" t="s">
        <v>4</v>
      </c>
      <c r="C166" s="3">
        <v>10000573525</v>
      </c>
      <c r="D166" s="3" t="s">
        <v>134</v>
      </c>
      <c r="E166" s="3" t="s">
        <v>192</v>
      </c>
      <c r="F166" s="3" t="s">
        <v>190</v>
      </c>
      <c r="G166" s="3"/>
      <c r="H166" s="6" t="s">
        <v>191</v>
      </c>
      <c r="I166" s="6" t="s">
        <v>13</v>
      </c>
      <c r="J166" s="5">
        <v>45428.881944444445</v>
      </c>
      <c r="K166" s="7">
        <f t="shared" si="2"/>
        <v>6.9444444452528842E-3</v>
      </c>
    </row>
    <row r="167" spans="1:11" x14ac:dyDescent="0.25">
      <c r="A167" s="5">
        <v>45429.65625</v>
      </c>
      <c r="B167" s="3" t="s">
        <v>4</v>
      </c>
      <c r="C167" s="3">
        <v>10000514345</v>
      </c>
      <c r="D167" s="3" t="s">
        <v>9</v>
      </c>
      <c r="E167" s="3" t="s">
        <v>11</v>
      </c>
      <c r="F167" s="3" t="s">
        <v>6</v>
      </c>
      <c r="G167" s="3"/>
      <c r="H167" s="6" t="s">
        <v>42</v>
      </c>
      <c r="I167" s="6" t="s">
        <v>13</v>
      </c>
      <c r="J167" s="5">
        <v>45429.666666666664</v>
      </c>
      <c r="K167" s="7">
        <f t="shared" si="2"/>
        <v>1.0416666664241347E-2</v>
      </c>
    </row>
    <row r="168" spans="1:11" x14ac:dyDescent="0.25">
      <c r="A168" s="5">
        <v>45429.795138888891</v>
      </c>
      <c r="B168" s="3" t="s">
        <v>4</v>
      </c>
      <c r="C168" s="3">
        <v>10000514345</v>
      </c>
      <c r="D168" s="3" t="s">
        <v>9</v>
      </c>
      <c r="E168" s="3" t="s">
        <v>11</v>
      </c>
      <c r="F168" s="3" t="s">
        <v>6</v>
      </c>
      <c r="G168" s="3"/>
      <c r="H168" s="6" t="s">
        <v>42</v>
      </c>
      <c r="I168" s="6" t="s">
        <v>13</v>
      </c>
      <c r="J168" s="5">
        <v>45429.79583333333</v>
      </c>
      <c r="K168" s="7">
        <f t="shared" si="2"/>
        <v>6.9444443943211809E-4</v>
      </c>
    </row>
    <row r="169" spans="1:11" x14ac:dyDescent="0.25">
      <c r="A169" s="5">
        <v>45430.401388888888</v>
      </c>
      <c r="B169" s="3" t="s">
        <v>4</v>
      </c>
      <c r="C169" s="3">
        <v>10000457638</v>
      </c>
      <c r="D169" s="3" t="s">
        <v>104</v>
      </c>
      <c r="E169" s="3" t="s">
        <v>107</v>
      </c>
      <c r="F169" s="3" t="s">
        <v>6</v>
      </c>
      <c r="G169" s="3"/>
      <c r="H169" s="6" t="s">
        <v>42</v>
      </c>
      <c r="I169" s="6" t="s">
        <v>13</v>
      </c>
      <c r="J169" s="5">
        <v>45430.410416666666</v>
      </c>
      <c r="K169" s="7">
        <f t="shared" si="2"/>
        <v>9.0277777781011537E-3</v>
      </c>
    </row>
    <row r="170" spans="1:11" x14ac:dyDescent="0.25">
      <c r="A170" s="5">
        <v>45430.552777777775</v>
      </c>
      <c r="B170" s="3" t="s">
        <v>193</v>
      </c>
      <c r="C170" s="3">
        <v>10000000824</v>
      </c>
      <c r="D170" s="3" t="s">
        <v>9</v>
      </c>
      <c r="E170" s="3" t="s">
        <v>149</v>
      </c>
      <c r="F170" s="3" t="s">
        <v>6</v>
      </c>
      <c r="G170" s="3"/>
      <c r="H170" s="6" t="s">
        <v>194</v>
      </c>
      <c r="I170" s="6" t="s">
        <v>14</v>
      </c>
      <c r="J170" s="5">
        <v>45430.631249999999</v>
      </c>
      <c r="K170" s="7">
        <f t="shared" si="2"/>
        <v>7.8472222223354038E-2</v>
      </c>
    </row>
    <row r="171" spans="1:11" x14ac:dyDescent="0.25">
      <c r="A171" s="5">
        <v>45430.824305555558</v>
      </c>
      <c r="B171" s="3" t="s">
        <v>4</v>
      </c>
      <c r="C171" s="3">
        <v>7810530001</v>
      </c>
      <c r="D171" s="3" t="s">
        <v>9</v>
      </c>
      <c r="E171" s="3" t="s">
        <v>26</v>
      </c>
      <c r="F171" s="3" t="s">
        <v>6</v>
      </c>
      <c r="G171" s="3"/>
      <c r="H171" s="6" t="s">
        <v>195</v>
      </c>
      <c r="I171" s="6" t="s">
        <v>14</v>
      </c>
      <c r="J171" s="5">
        <v>45431.240277777775</v>
      </c>
      <c r="K171" s="7">
        <f t="shared" si="2"/>
        <v>0.41597222221753327</v>
      </c>
    </row>
    <row r="172" spans="1:11" x14ac:dyDescent="0.25">
      <c r="A172" s="5">
        <v>45430.89166666667</v>
      </c>
      <c r="B172" s="3" t="s">
        <v>4</v>
      </c>
      <c r="C172" s="3">
        <v>10000457638</v>
      </c>
      <c r="D172" s="3" t="s">
        <v>104</v>
      </c>
      <c r="E172" s="3" t="s">
        <v>107</v>
      </c>
      <c r="F172" s="3" t="s">
        <v>6</v>
      </c>
      <c r="G172" s="3"/>
      <c r="H172" s="6" t="s">
        <v>42</v>
      </c>
      <c r="I172" s="6" t="s">
        <v>13</v>
      </c>
      <c r="J172" s="5">
        <v>45430.9</v>
      </c>
      <c r="K172" s="7">
        <f t="shared" si="2"/>
        <v>8.333333331393078E-3</v>
      </c>
    </row>
    <row r="173" spans="1:11" x14ac:dyDescent="0.25">
      <c r="A173" s="5">
        <v>45431.286111111112</v>
      </c>
      <c r="B173" s="3" t="s">
        <v>4</v>
      </c>
      <c r="C173" s="3">
        <v>7810530001</v>
      </c>
      <c r="D173" s="3" t="s">
        <v>9</v>
      </c>
      <c r="E173" s="3" t="s">
        <v>26</v>
      </c>
      <c r="F173" s="3" t="s">
        <v>6</v>
      </c>
      <c r="G173" s="3"/>
      <c r="H173" s="6" t="s">
        <v>195</v>
      </c>
      <c r="I173" s="6" t="s">
        <v>14</v>
      </c>
      <c r="J173" s="5">
        <v>45431.289583333331</v>
      </c>
      <c r="K173" s="7">
        <f t="shared" si="2"/>
        <v>3.4722222189884633E-3</v>
      </c>
    </row>
    <row r="174" spans="1:11" x14ac:dyDescent="0.25">
      <c r="A174" s="5">
        <v>45431.510416666664</v>
      </c>
      <c r="B174" s="3" t="s">
        <v>4</v>
      </c>
      <c r="C174" s="3">
        <v>10000000822</v>
      </c>
      <c r="D174" s="3" t="s">
        <v>9</v>
      </c>
      <c r="E174" s="3" t="s">
        <v>179</v>
      </c>
      <c r="F174" s="3" t="s">
        <v>6</v>
      </c>
      <c r="G174" s="3"/>
      <c r="H174" s="6" t="s">
        <v>42</v>
      </c>
      <c r="I174" s="6" t="s">
        <v>13</v>
      </c>
      <c r="J174" s="5">
        <v>45431.583333333336</v>
      </c>
      <c r="K174" s="7">
        <f t="shared" si="2"/>
        <v>7.2916666671517305E-2</v>
      </c>
    </row>
    <row r="175" spans="1:11" x14ac:dyDescent="0.25">
      <c r="A175" s="5">
        <v>45431.749305555553</v>
      </c>
      <c r="B175" s="3" t="s">
        <v>4</v>
      </c>
      <c r="C175" s="3">
        <v>10000011130</v>
      </c>
      <c r="D175" s="3" t="s">
        <v>17</v>
      </c>
      <c r="E175" s="3" t="s">
        <v>15</v>
      </c>
      <c r="F175" s="3" t="s">
        <v>6</v>
      </c>
      <c r="G175" s="3"/>
      <c r="H175" s="6" t="s">
        <v>157</v>
      </c>
      <c r="I175" s="6" t="s">
        <v>14</v>
      </c>
      <c r="J175" s="5">
        <v>45431.754166666666</v>
      </c>
      <c r="K175" s="7">
        <f t="shared" si="2"/>
        <v>4.8611111124046147E-3</v>
      </c>
    </row>
    <row r="176" spans="1:11" x14ac:dyDescent="0.25">
      <c r="A176" s="5">
        <v>45432.509722222225</v>
      </c>
      <c r="B176" s="3" t="s">
        <v>196</v>
      </c>
      <c r="C176" s="3">
        <v>6999100001</v>
      </c>
      <c r="D176" s="3" t="s">
        <v>10</v>
      </c>
      <c r="E176" s="3" t="s">
        <v>95</v>
      </c>
      <c r="F176" s="3" t="s">
        <v>6</v>
      </c>
      <c r="G176" s="3"/>
      <c r="H176" s="6" t="s">
        <v>198</v>
      </c>
      <c r="I176" s="6" t="s">
        <v>14</v>
      </c>
      <c r="J176" s="5">
        <v>45436.796527777777</v>
      </c>
      <c r="K176" s="7">
        <f t="shared" si="2"/>
        <v>4.2868055555518367</v>
      </c>
    </row>
    <row r="177" spans="1:11" x14ac:dyDescent="0.25">
      <c r="A177" s="5">
        <v>45432.631249999999</v>
      </c>
      <c r="B177" s="3" t="s">
        <v>4</v>
      </c>
      <c r="C177" s="3">
        <v>10000011130</v>
      </c>
      <c r="D177" s="3" t="s">
        <v>17</v>
      </c>
      <c r="E177" s="3" t="s">
        <v>15</v>
      </c>
      <c r="F177" s="3" t="s">
        <v>6</v>
      </c>
      <c r="G177" s="3"/>
      <c r="H177" s="6" t="s">
        <v>157</v>
      </c>
      <c r="I177" s="6" t="s">
        <v>14</v>
      </c>
      <c r="J177" s="5">
        <v>45432.681944444441</v>
      </c>
      <c r="K177" s="7">
        <f t="shared" si="2"/>
        <v>5.0694444442342501E-2</v>
      </c>
    </row>
    <row r="178" spans="1:11" ht="30" x14ac:dyDescent="0.25">
      <c r="A178" s="5">
        <v>45433.39166666667</v>
      </c>
      <c r="B178" s="3" t="s">
        <v>4</v>
      </c>
      <c r="C178" s="3">
        <v>10000011130</v>
      </c>
      <c r="D178" s="3" t="s">
        <v>17</v>
      </c>
      <c r="E178" s="3" t="s">
        <v>15</v>
      </c>
      <c r="F178" s="3" t="s">
        <v>6</v>
      </c>
      <c r="G178" s="3"/>
      <c r="H178" s="6" t="s">
        <v>197</v>
      </c>
      <c r="I178" s="6" t="s">
        <v>14</v>
      </c>
      <c r="J178" s="5">
        <v>45433.431944444441</v>
      </c>
      <c r="K178" s="7">
        <f t="shared" si="2"/>
        <v>4.0277777770825196E-2</v>
      </c>
    </row>
    <row r="179" spans="1:11" x14ac:dyDescent="0.25">
      <c r="A179" s="5">
        <v>45434.763888888891</v>
      </c>
      <c r="B179" s="3" t="s">
        <v>200</v>
      </c>
      <c r="C179" s="3">
        <v>10000058625</v>
      </c>
      <c r="D179" s="3" t="s">
        <v>9</v>
      </c>
      <c r="E179" s="3" t="s">
        <v>41</v>
      </c>
      <c r="F179" s="3" t="s">
        <v>6</v>
      </c>
      <c r="G179" s="3"/>
      <c r="H179" s="6" t="s">
        <v>199</v>
      </c>
      <c r="I179" s="6" t="s">
        <v>13</v>
      </c>
      <c r="J179" s="5">
        <v>45435.023611111108</v>
      </c>
      <c r="K179" s="7">
        <f t="shared" si="2"/>
        <v>0.25972222221753327</v>
      </c>
    </row>
    <row r="180" spans="1:11" x14ac:dyDescent="0.25">
      <c r="A180" s="5">
        <v>45434.763888888891</v>
      </c>
      <c r="B180" s="3" t="s">
        <v>4</v>
      </c>
      <c r="C180" s="3">
        <v>10000569606</v>
      </c>
      <c r="D180" s="3" t="s">
        <v>9</v>
      </c>
      <c r="E180" s="3" t="s">
        <v>19</v>
      </c>
      <c r="F180" s="3" t="s">
        <v>51</v>
      </c>
      <c r="G180" s="3"/>
      <c r="H180" s="6" t="s">
        <v>199</v>
      </c>
      <c r="I180" s="6" t="s">
        <v>13</v>
      </c>
      <c r="J180" s="5">
        <v>45434.824999999997</v>
      </c>
      <c r="K180" s="7">
        <f t="shared" si="2"/>
        <v>6.1111111106583849E-2</v>
      </c>
    </row>
    <row r="181" spans="1:11" x14ac:dyDescent="0.25">
      <c r="A181" s="5">
        <v>45435.418055555558</v>
      </c>
      <c r="B181" s="3" t="s">
        <v>201</v>
      </c>
      <c r="C181" s="3">
        <v>10000057941</v>
      </c>
      <c r="D181" s="3" t="s">
        <v>9</v>
      </c>
      <c r="E181" s="3" t="s">
        <v>202</v>
      </c>
      <c r="F181" s="3" t="s">
        <v>203</v>
      </c>
      <c r="G181" s="3"/>
      <c r="H181" s="6" t="s">
        <v>204</v>
      </c>
      <c r="I181" s="6" t="s">
        <v>13</v>
      </c>
      <c r="J181" s="5">
        <v>45435.55972222222</v>
      </c>
      <c r="K181" s="7">
        <f t="shared" si="2"/>
        <v>0.14166666666278616</v>
      </c>
    </row>
    <row r="182" spans="1:11" x14ac:dyDescent="0.25">
      <c r="A182" s="5">
        <v>45435.537499999999</v>
      </c>
      <c r="B182" s="3" t="s">
        <v>205</v>
      </c>
      <c r="C182" s="3">
        <v>10000011130</v>
      </c>
      <c r="D182" s="3" t="s">
        <v>17</v>
      </c>
      <c r="E182" s="3" t="s">
        <v>15</v>
      </c>
      <c r="F182" s="3" t="s">
        <v>38</v>
      </c>
      <c r="G182" s="3"/>
      <c r="H182" s="6" t="s">
        <v>206</v>
      </c>
      <c r="I182" s="6" t="s">
        <v>14</v>
      </c>
      <c r="J182" s="5">
        <v>45435.55972222222</v>
      </c>
      <c r="K182" s="7">
        <f t="shared" si="2"/>
        <v>2.2222222221898846E-2</v>
      </c>
    </row>
    <row r="183" spans="1:11" x14ac:dyDescent="0.25">
      <c r="A183" s="5">
        <v>45435.713888888888</v>
      </c>
      <c r="B183" s="3" t="s">
        <v>4</v>
      </c>
      <c r="C183" s="3">
        <v>10000347457</v>
      </c>
      <c r="D183" s="3" t="s">
        <v>9</v>
      </c>
      <c r="E183" s="3" t="s">
        <v>93</v>
      </c>
      <c r="F183" s="3" t="s">
        <v>6</v>
      </c>
      <c r="G183" s="3"/>
      <c r="H183" s="6" t="s">
        <v>207</v>
      </c>
      <c r="I183" s="6" t="s">
        <v>14</v>
      </c>
      <c r="J183" s="5">
        <v>45435.879861111112</v>
      </c>
      <c r="K183" s="7">
        <f t="shared" si="2"/>
        <v>0.16597222222480923</v>
      </c>
    </row>
    <row r="184" spans="1:11" x14ac:dyDescent="0.25">
      <c r="A184" s="5">
        <v>45436.503472222219</v>
      </c>
      <c r="B184" s="3" t="s">
        <v>4</v>
      </c>
      <c r="C184" s="3">
        <v>10000059269</v>
      </c>
      <c r="D184" s="3" t="s">
        <v>104</v>
      </c>
      <c r="E184" s="3" t="s">
        <v>208</v>
      </c>
      <c r="F184" s="3" t="s">
        <v>38</v>
      </c>
      <c r="G184" s="3"/>
      <c r="H184" s="6" t="s">
        <v>209</v>
      </c>
      <c r="I184" s="6" t="s">
        <v>14</v>
      </c>
      <c r="J184" s="5">
        <v>45436.504861111112</v>
      </c>
      <c r="K184" s="7">
        <f t="shared" si="2"/>
        <v>1.3888888934161514E-3</v>
      </c>
    </row>
    <row r="185" spans="1:11" ht="30" x14ac:dyDescent="0.25">
      <c r="A185" s="5">
        <v>45436.599305555559</v>
      </c>
      <c r="B185" s="3" t="s">
        <v>4</v>
      </c>
      <c r="C185" s="3">
        <v>10000100046</v>
      </c>
      <c r="D185" s="3" t="s">
        <v>10</v>
      </c>
      <c r="E185" s="3" t="s">
        <v>64</v>
      </c>
      <c r="F185" s="3" t="s">
        <v>6</v>
      </c>
      <c r="G185" s="3"/>
      <c r="H185" s="6" t="s">
        <v>210</v>
      </c>
      <c r="I185" s="6" t="s">
        <v>14</v>
      </c>
      <c r="J185" s="5">
        <v>45436.603472222225</v>
      </c>
      <c r="K185" s="7">
        <f t="shared" si="2"/>
        <v>4.166666665696539E-3</v>
      </c>
    </row>
    <row r="186" spans="1:11" x14ac:dyDescent="0.25">
      <c r="A186" s="5">
        <v>45438.086111111108</v>
      </c>
      <c r="B186" s="3" t="s">
        <v>4</v>
      </c>
      <c r="C186" s="3">
        <v>10000011130</v>
      </c>
      <c r="D186" s="3" t="s">
        <v>17</v>
      </c>
      <c r="E186" s="3" t="s">
        <v>15</v>
      </c>
      <c r="F186" s="3" t="s">
        <v>6</v>
      </c>
      <c r="G186" s="3"/>
      <c r="H186" s="6" t="s">
        <v>42</v>
      </c>
      <c r="I186" s="6" t="s">
        <v>13</v>
      </c>
      <c r="J186" s="5">
        <v>45438.365972222222</v>
      </c>
      <c r="K186" s="7">
        <f t="shared" si="2"/>
        <v>0.27986111111385981</v>
      </c>
    </row>
    <row r="187" spans="1:11" x14ac:dyDescent="0.25">
      <c r="A187" s="5">
        <v>45439.432638888888</v>
      </c>
      <c r="B187" s="3" t="s">
        <v>211</v>
      </c>
      <c r="C187" s="3">
        <v>6999100001</v>
      </c>
      <c r="D187" s="3" t="s">
        <v>10</v>
      </c>
      <c r="E187" s="3" t="s">
        <v>95</v>
      </c>
      <c r="F187" s="3" t="s">
        <v>6</v>
      </c>
      <c r="G187" s="3"/>
      <c r="H187" s="6" t="s">
        <v>212</v>
      </c>
      <c r="I187" s="6" t="s">
        <v>14</v>
      </c>
      <c r="J187" s="5">
        <v>45439.552777777775</v>
      </c>
      <c r="K187" s="7">
        <f t="shared" si="2"/>
        <v>0.12013888888759539</v>
      </c>
    </row>
    <row r="188" spans="1:11" x14ac:dyDescent="0.25">
      <c r="A188" s="5">
        <v>45439.46597222222</v>
      </c>
      <c r="B188" s="3" t="s">
        <v>4</v>
      </c>
      <c r="C188" s="3">
        <v>7808270001</v>
      </c>
      <c r="D188" s="3" t="s">
        <v>9</v>
      </c>
      <c r="E188" s="3" t="s">
        <v>37</v>
      </c>
      <c r="F188" s="3" t="s">
        <v>6</v>
      </c>
      <c r="G188" s="3"/>
      <c r="H188" s="6" t="s">
        <v>101</v>
      </c>
      <c r="I188" s="6" t="s">
        <v>14</v>
      </c>
      <c r="J188" s="5">
        <v>45439.505555555559</v>
      </c>
      <c r="K188" s="7">
        <f t="shared" si="2"/>
        <v>3.9583333338669036E-2</v>
      </c>
    </row>
    <row r="189" spans="1:11" x14ac:dyDescent="0.25">
      <c r="A189" s="5">
        <v>45440.440972222219</v>
      </c>
      <c r="B189" s="3" t="s">
        <v>214</v>
      </c>
      <c r="C189" s="3">
        <v>10000569606</v>
      </c>
      <c r="D189" s="3" t="s">
        <v>9</v>
      </c>
      <c r="E189" s="3" t="s">
        <v>19</v>
      </c>
      <c r="F189" s="3" t="s">
        <v>215</v>
      </c>
      <c r="G189" s="3"/>
      <c r="H189" s="6" t="s">
        <v>216</v>
      </c>
      <c r="I189" s="6" t="s">
        <v>13</v>
      </c>
      <c r="J189" s="5">
        <v>45440.963888888888</v>
      </c>
      <c r="K189" s="7">
        <f t="shared" si="2"/>
        <v>0.52291666666860692</v>
      </c>
    </row>
    <row r="190" spans="1:11" x14ac:dyDescent="0.25">
      <c r="A190" s="5">
        <v>45440.638194444444</v>
      </c>
      <c r="B190" s="3" t="s">
        <v>4</v>
      </c>
      <c r="C190" s="3">
        <v>10000402765</v>
      </c>
      <c r="D190" s="3" t="s">
        <v>10</v>
      </c>
      <c r="E190" s="3" t="s">
        <v>177</v>
      </c>
      <c r="F190" s="3" t="s">
        <v>38</v>
      </c>
      <c r="G190" s="3"/>
      <c r="H190" s="6" t="s">
        <v>213</v>
      </c>
      <c r="I190" s="6" t="s">
        <v>14</v>
      </c>
      <c r="J190" s="5">
        <v>45440.740972222222</v>
      </c>
      <c r="K190" s="7">
        <f t="shared" si="2"/>
        <v>0.10277777777810115</v>
      </c>
    </row>
    <row r="191" spans="1:11" x14ac:dyDescent="0.25">
      <c r="A191" s="5">
        <v>45442.555555555555</v>
      </c>
      <c r="B191" s="3" t="s">
        <v>4</v>
      </c>
      <c r="C191" s="3">
        <v>10000058625</v>
      </c>
      <c r="D191" s="3" t="s">
        <v>9</v>
      </c>
      <c r="E191" s="3" t="s">
        <v>41</v>
      </c>
      <c r="F191" s="3" t="s">
        <v>6</v>
      </c>
      <c r="G191" s="3"/>
      <c r="H191" s="6" t="s">
        <v>209</v>
      </c>
      <c r="I191" s="6" t="s">
        <v>14</v>
      </c>
      <c r="J191" s="5">
        <v>45442.570833333331</v>
      </c>
      <c r="K191" s="7">
        <f t="shared" si="2"/>
        <v>1.5277777776645962E-2</v>
      </c>
    </row>
    <row r="192" spans="1:11" x14ac:dyDescent="0.25">
      <c r="A192" s="5">
        <v>45442.679166666669</v>
      </c>
      <c r="B192" s="3" t="s">
        <v>4</v>
      </c>
      <c r="C192" s="3">
        <v>10000450331</v>
      </c>
      <c r="D192" s="3" t="s">
        <v>9</v>
      </c>
      <c r="E192" s="3" t="s">
        <v>217</v>
      </c>
      <c r="F192" s="3" t="s">
        <v>6</v>
      </c>
      <c r="G192" s="3"/>
      <c r="H192" s="6" t="s">
        <v>101</v>
      </c>
      <c r="I192" s="6" t="s">
        <v>14</v>
      </c>
      <c r="J192" s="5">
        <v>45442.722916666666</v>
      </c>
      <c r="K192" s="7">
        <f t="shared" si="2"/>
        <v>4.3749999997089617E-2</v>
      </c>
    </row>
    <row r="193" spans="1:11" x14ac:dyDescent="0.25">
      <c r="A193" s="5">
        <v>45443.888194444444</v>
      </c>
      <c r="B193" s="3" t="s">
        <v>218</v>
      </c>
      <c r="C193" s="3">
        <v>10000138837</v>
      </c>
      <c r="D193" s="3" t="s">
        <v>10</v>
      </c>
      <c r="E193" s="3" t="s">
        <v>64</v>
      </c>
      <c r="F193" s="3" t="s">
        <v>219</v>
      </c>
      <c r="G193" s="3"/>
      <c r="H193" s="6" t="s">
        <v>220</v>
      </c>
      <c r="I193" s="6"/>
      <c r="J193" s="5">
        <v>45443.898611111108</v>
      </c>
      <c r="K193" s="7">
        <f t="shared" si="2"/>
        <v>1.0416666664241347E-2</v>
      </c>
    </row>
    <row r="194" spans="1:11" x14ac:dyDescent="0.25">
      <c r="A194" s="5">
        <v>45445.5</v>
      </c>
      <c r="B194" s="3" t="s">
        <v>221</v>
      </c>
      <c r="C194" s="3">
        <v>10000000822</v>
      </c>
      <c r="D194" s="3" t="s">
        <v>9</v>
      </c>
      <c r="E194" s="3" t="s">
        <v>179</v>
      </c>
      <c r="F194" s="3" t="s">
        <v>6</v>
      </c>
      <c r="G194" s="3"/>
      <c r="H194" s="6" t="s">
        <v>222</v>
      </c>
      <c r="I194" s="6" t="s">
        <v>13</v>
      </c>
      <c r="J194" s="5">
        <v>45445.588888888888</v>
      </c>
      <c r="K194" s="7">
        <f t="shared" si="2"/>
        <v>8.8888888887595385E-2</v>
      </c>
    </row>
    <row r="195" spans="1:11" ht="30" x14ac:dyDescent="0.25">
      <c r="A195" s="5">
        <v>45445.82708333333</v>
      </c>
      <c r="B195" s="3" t="s">
        <v>4</v>
      </c>
      <c r="C195" s="3">
        <v>10000573525</v>
      </c>
      <c r="D195" s="3" t="s">
        <v>134</v>
      </c>
      <c r="E195" s="3" t="s">
        <v>224</v>
      </c>
      <c r="F195" s="6" t="s">
        <v>223</v>
      </c>
      <c r="G195" s="3"/>
      <c r="H195" s="6" t="s">
        <v>225</v>
      </c>
      <c r="I195" s="6" t="s">
        <v>14</v>
      </c>
      <c r="J195" s="5">
        <v>45445.82708333333</v>
      </c>
      <c r="K195" s="7">
        <f t="shared" si="2"/>
        <v>0</v>
      </c>
    </row>
    <row r="196" spans="1:11" ht="30" x14ac:dyDescent="0.25">
      <c r="A196" s="5">
        <v>45445.82708333333</v>
      </c>
      <c r="B196" s="3" t="s">
        <v>4</v>
      </c>
      <c r="C196" s="3">
        <v>10000569696</v>
      </c>
      <c r="D196" s="3" t="s">
        <v>134</v>
      </c>
      <c r="E196" s="3" t="s">
        <v>189</v>
      </c>
      <c r="F196" s="6" t="s">
        <v>223</v>
      </c>
      <c r="G196" s="3"/>
      <c r="H196" s="6" t="s">
        <v>225</v>
      </c>
      <c r="I196" s="6" t="s">
        <v>14</v>
      </c>
      <c r="J196" s="5">
        <v>45445.82708333333</v>
      </c>
      <c r="K196" s="7">
        <f t="shared" si="2"/>
        <v>0</v>
      </c>
    </row>
    <row r="197" spans="1:11" x14ac:dyDescent="0.25">
      <c r="A197" s="5">
        <v>45446.432638888888</v>
      </c>
      <c r="B197" s="3" t="s">
        <v>226</v>
      </c>
      <c r="C197" s="3">
        <v>10000002079</v>
      </c>
      <c r="D197" s="3" t="s">
        <v>10</v>
      </c>
      <c r="E197" s="3" t="s">
        <v>16</v>
      </c>
      <c r="F197" s="3" t="s">
        <v>6</v>
      </c>
      <c r="G197" s="3"/>
      <c r="H197" s="6" t="s">
        <v>227</v>
      </c>
      <c r="I197" s="6" t="s">
        <v>14</v>
      </c>
      <c r="J197" s="5">
        <v>45446.500694444447</v>
      </c>
      <c r="K197" s="7">
        <f t="shared" ref="K197:K260" si="3">J197-A197</f>
        <v>6.805555555911269E-2</v>
      </c>
    </row>
    <row r="198" spans="1:11" x14ac:dyDescent="0.25">
      <c r="A198" s="5">
        <v>45447.077777777777</v>
      </c>
      <c r="B198" s="3" t="s">
        <v>4</v>
      </c>
      <c r="C198" s="3">
        <v>10000402765</v>
      </c>
      <c r="D198" s="3" t="s">
        <v>10</v>
      </c>
      <c r="E198" s="3" t="s">
        <v>177</v>
      </c>
      <c r="F198" s="3" t="s">
        <v>6</v>
      </c>
      <c r="G198" s="3"/>
      <c r="H198" s="6" t="s">
        <v>228</v>
      </c>
      <c r="I198" s="6" t="s">
        <v>14</v>
      </c>
      <c r="J198" s="5">
        <v>45447.085416666669</v>
      </c>
      <c r="K198" s="7">
        <f t="shared" si="3"/>
        <v>7.6388888919609599E-3</v>
      </c>
    </row>
    <row r="199" spans="1:11" ht="30" x14ac:dyDescent="0.25">
      <c r="A199" s="5">
        <v>45447.128472222219</v>
      </c>
      <c r="B199" s="3" t="s">
        <v>4</v>
      </c>
      <c r="C199" s="3">
        <v>7831420001</v>
      </c>
      <c r="D199" s="3" t="s">
        <v>9</v>
      </c>
      <c r="E199" s="3" t="s">
        <v>120</v>
      </c>
      <c r="F199" s="3" t="s">
        <v>6</v>
      </c>
      <c r="G199" s="3"/>
      <c r="H199" s="6" t="s">
        <v>229</v>
      </c>
      <c r="I199" s="6" t="s">
        <v>14</v>
      </c>
      <c r="J199" s="5">
        <v>45447.129861111112</v>
      </c>
      <c r="K199" s="7">
        <f t="shared" si="3"/>
        <v>1.3888888934161514E-3</v>
      </c>
    </row>
    <row r="200" spans="1:11" x14ac:dyDescent="0.25">
      <c r="A200" s="5">
        <v>45447.542361111111</v>
      </c>
      <c r="B200" s="3" t="s">
        <v>230</v>
      </c>
      <c r="C200" s="3">
        <v>10000058625</v>
      </c>
      <c r="D200" s="3" t="s">
        <v>9</v>
      </c>
      <c r="E200" s="3" t="s">
        <v>41</v>
      </c>
      <c r="F200" s="3" t="s">
        <v>6</v>
      </c>
      <c r="G200" s="3"/>
      <c r="H200" s="6" t="s">
        <v>195</v>
      </c>
      <c r="I200" s="6" t="s">
        <v>14</v>
      </c>
      <c r="J200" s="5">
        <v>45447.643750000003</v>
      </c>
      <c r="K200" s="7">
        <f t="shared" si="3"/>
        <v>0.10138888889196096</v>
      </c>
    </row>
    <row r="201" spans="1:11" x14ac:dyDescent="0.25">
      <c r="A201" s="5">
        <v>45448.677083333336</v>
      </c>
      <c r="B201" s="3" t="s">
        <v>231</v>
      </c>
      <c r="C201" s="3">
        <v>6963530001</v>
      </c>
      <c r="D201" s="3" t="s">
        <v>9</v>
      </c>
      <c r="E201" s="3" t="s">
        <v>67</v>
      </c>
      <c r="F201" s="3" t="s">
        <v>90</v>
      </c>
      <c r="G201" s="3"/>
      <c r="H201" s="6" t="s">
        <v>232</v>
      </c>
      <c r="I201" s="6" t="s">
        <v>14</v>
      </c>
      <c r="J201" s="5">
        <v>45448.987500000003</v>
      </c>
      <c r="K201" s="7">
        <f t="shared" si="3"/>
        <v>0.31041666666715173</v>
      </c>
    </row>
    <row r="202" spans="1:11" x14ac:dyDescent="0.25">
      <c r="A202" s="5">
        <v>45448.813888888886</v>
      </c>
      <c r="B202" s="3" t="s">
        <v>4</v>
      </c>
      <c r="C202" s="3">
        <v>10000577752</v>
      </c>
      <c r="D202" s="3" t="s">
        <v>9</v>
      </c>
      <c r="E202" s="3" t="s">
        <v>21</v>
      </c>
      <c r="F202" s="3" t="s">
        <v>6</v>
      </c>
      <c r="G202" s="3"/>
      <c r="H202" s="6" t="s">
        <v>42</v>
      </c>
      <c r="I202" s="6" t="s">
        <v>13</v>
      </c>
      <c r="J202" s="5">
        <v>45448.819444444445</v>
      </c>
      <c r="K202" s="7">
        <f t="shared" si="3"/>
        <v>5.5555555591126904E-3</v>
      </c>
    </row>
    <row r="203" spans="1:11" x14ac:dyDescent="0.25">
      <c r="A203" s="5">
        <v>45448.994444444441</v>
      </c>
      <c r="B203" s="3" t="s">
        <v>4</v>
      </c>
      <c r="C203" s="3">
        <v>10000577752</v>
      </c>
      <c r="D203" s="3" t="s">
        <v>9</v>
      </c>
      <c r="E203" s="3" t="s">
        <v>21</v>
      </c>
      <c r="F203" s="3" t="s">
        <v>6</v>
      </c>
      <c r="G203" s="3"/>
      <c r="H203" s="6" t="s">
        <v>42</v>
      </c>
      <c r="I203" s="6" t="s">
        <v>13</v>
      </c>
      <c r="J203" s="5">
        <v>45449.086805555555</v>
      </c>
      <c r="K203" s="7">
        <f t="shared" si="3"/>
        <v>9.2361111113859806E-2</v>
      </c>
    </row>
    <row r="204" spans="1:11" x14ac:dyDescent="0.25">
      <c r="A204" s="5">
        <v>45449.370833333334</v>
      </c>
      <c r="B204" s="3" t="s">
        <v>234</v>
      </c>
      <c r="C204" s="3">
        <v>10000575327</v>
      </c>
      <c r="D204" s="3" t="s">
        <v>9</v>
      </c>
      <c r="E204" s="3" t="s">
        <v>233</v>
      </c>
      <c r="F204" s="3" t="s">
        <v>6</v>
      </c>
      <c r="G204" s="3"/>
      <c r="H204" s="6" t="s">
        <v>235</v>
      </c>
      <c r="I204" s="6" t="s">
        <v>14</v>
      </c>
      <c r="J204" s="5">
        <v>45450.532638888886</v>
      </c>
      <c r="K204" s="7">
        <f t="shared" si="3"/>
        <v>1.1618055555518367</v>
      </c>
    </row>
    <row r="205" spans="1:11" x14ac:dyDescent="0.25">
      <c r="A205" s="5">
        <v>45449.515277777777</v>
      </c>
      <c r="B205" s="3" t="s">
        <v>4</v>
      </c>
      <c r="C205" s="3">
        <v>10000577752</v>
      </c>
      <c r="D205" s="3" t="s">
        <v>9</v>
      </c>
      <c r="E205" s="3" t="s">
        <v>21</v>
      </c>
      <c r="F205" s="3" t="s">
        <v>6</v>
      </c>
      <c r="G205" s="3"/>
      <c r="H205" s="6" t="s">
        <v>42</v>
      </c>
      <c r="I205" s="6" t="s">
        <v>13</v>
      </c>
      <c r="J205" s="5">
        <v>45449.613888888889</v>
      </c>
      <c r="K205" s="7">
        <f t="shared" si="3"/>
        <v>9.8611111112404615E-2</v>
      </c>
    </row>
    <row r="206" spans="1:11" x14ac:dyDescent="0.25">
      <c r="A206" s="5">
        <v>45449.54583333333</v>
      </c>
      <c r="B206" s="3" t="s">
        <v>236</v>
      </c>
      <c r="C206" s="3">
        <v>10000024475</v>
      </c>
      <c r="D206" s="3" t="s">
        <v>10</v>
      </c>
      <c r="E206" s="3" t="s">
        <v>23</v>
      </c>
      <c r="F206" s="3" t="s">
        <v>6</v>
      </c>
      <c r="G206" s="3"/>
      <c r="H206" s="6" t="s">
        <v>237</v>
      </c>
      <c r="I206" s="6" t="s">
        <v>14</v>
      </c>
      <c r="J206" s="5">
        <v>45449.836111111108</v>
      </c>
      <c r="K206" s="7">
        <f t="shared" si="3"/>
        <v>0.29027777777810115</v>
      </c>
    </row>
    <row r="207" spans="1:11" x14ac:dyDescent="0.25">
      <c r="A207" s="5">
        <v>45449.582638888889</v>
      </c>
      <c r="B207" s="3" t="s">
        <v>4</v>
      </c>
      <c r="C207" s="3">
        <v>10000011130</v>
      </c>
      <c r="D207" s="3" t="s">
        <v>17</v>
      </c>
      <c r="E207" s="3" t="s">
        <v>15</v>
      </c>
      <c r="F207" s="3" t="s">
        <v>6</v>
      </c>
      <c r="G207" s="3"/>
      <c r="H207" s="6" t="s">
        <v>42</v>
      </c>
      <c r="I207" s="6" t="s">
        <v>13</v>
      </c>
      <c r="J207" s="5">
        <v>45449.583333333336</v>
      </c>
      <c r="K207" s="7">
        <f t="shared" si="3"/>
        <v>6.944444467080757E-4</v>
      </c>
    </row>
    <row r="208" spans="1:11" x14ac:dyDescent="0.25">
      <c r="A208" s="5">
        <v>45449.622916666667</v>
      </c>
      <c r="B208" s="3" t="s">
        <v>4</v>
      </c>
      <c r="C208" s="3">
        <v>10000296104</v>
      </c>
      <c r="D208" s="3" t="s">
        <v>9</v>
      </c>
      <c r="E208" s="3" t="s">
        <v>238</v>
      </c>
      <c r="F208" s="3" t="s">
        <v>239</v>
      </c>
      <c r="G208" s="3"/>
      <c r="H208" s="6" t="s">
        <v>240</v>
      </c>
      <c r="I208" s="6" t="s">
        <v>13</v>
      </c>
      <c r="J208" s="5">
        <v>45449.622916666667</v>
      </c>
      <c r="K208" s="7">
        <f t="shared" si="3"/>
        <v>0</v>
      </c>
    </row>
    <row r="209" spans="1:11" x14ac:dyDescent="0.25">
      <c r="A209" s="5">
        <v>45450.199305555558</v>
      </c>
      <c r="B209" s="3" t="s">
        <v>241</v>
      </c>
      <c r="C209" s="3">
        <v>10000457640</v>
      </c>
      <c r="D209" s="3" t="s">
        <v>104</v>
      </c>
      <c r="E209" s="3" t="s">
        <v>242</v>
      </c>
      <c r="F209" s="3" t="s">
        <v>6</v>
      </c>
      <c r="G209" s="3"/>
      <c r="H209" s="6" t="s">
        <v>244</v>
      </c>
      <c r="I209" s="6" t="s">
        <v>14</v>
      </c>
      <c r="J209" s="5">
        <v>45450.961805555555</v>
      </c>
      <c r="K209" s="7">
        <f t="shared" si="3"/>
        <v>0.76249999999708962</v>
      </c>
    </row>
    <row r="210" spans="1:11" x14ac:dyDescent="0.25">
      <c r="A210" s="5">
        <v>45450.476388888892</v>
      </c>
      <c r="B210" s="3" t="s">
        <v>4</v>
      </c>
      <c r="C210" s="3">
        <v>10000011130</v>
      </c>
      <c r="D210" s="3" t="s">
        <v>17</v>
      </c>
      <c r="E210" s="3" t="s">
        <v>15</v>
      </c>
      <c r="F210" s="3" t="s">
        <v>6</v>
      </c>
      <c r="G210" s="3"/>
      <c r="H210" s="6" t="s">
        <v>42</v>
      </c>
      <c r="I210" s="6" t="s">
        <v>13</v>
      </c>
      <c r="J210" s="5">
        <v>45450.507638888892</v>
      </c>
      <c r="K210" s="7">
        <f t="shared" si="3"/>
        <v>3.125E-2</v>
      </c>
    </row>
    <row r="211" spans="1:11" x14ac:dyDescent="0.25">
      <c r="A211" s="5">
        <v>45451.449305555558</v>
      </c>
      <c r="B211" s="3" t="s">
        <v>243</v>
      </c>
      <c r="C211" s="3">
        <v>10000457640</v>
      </c>
      <c r="D211" s="3" t="s">
        <v>104</v>
      </c>
      <c r="E211" s="3" t="s">
        <v>242</v>
      </c>
      <c r="F211" s="3" t="s">
        <v>6</v>
      </c>
      <c r="G211" s="3"/>
      <c r="H211" s="6" t="s">
        <v>255</v>
      </c>
      <c r="I211" s="6" t="s">
        <v>14</v>
      </c>
      <c r="J211" s="5">
        <v>45454.524305555555</v>
      </c>
      <c r="K211" s="7">
        <f t="shared" si="3"/>
        <v>3.0749999999970896</v>
      </c>
    </row>
    <row r="212" spans="1:11" x14ac:dyDescent="0.25">
      <c r="A212" s="5">
        <v>45451.472916666666</v>
      </c>
      <c r="B212" s="3" t="s">
        <v>4</v>
      </c>
      <c r="C212" s="3">
        <v>10000514345</v>
      </c>
      <c r="D212" s="3" t="s">
        <v>9</v>
      </c>
      <c r="E212" s="3" t="s">
        <v>11</v>
      </c>
      <c r="F212" s="3" t="s">
        <v>6</v>
      </c>
      <c r="G212" s="3"/>
      <c r="H212" s="6" t="s">
        <v>42</v>
      </c>
      <c r="I212" s="6" t="s">
        <v>13</v>
      </c>
      <c r="J212" s="5">
        <v>45451.472916666666</v>
      </c>
      <c r="K212" s="7">
        <f t="shared" si="3"/>
        <v>0</v>
      </c>
    </row>
    <row r="213" spans="1:11" x14ac:dyDescent="0.25">
      <c r="A213" s="5">
        <v>45451.555555555555</v>
      </c>
      <c r="B213" s="3" t="s">
        <v>4</v>
      </c>
      <c r="C213" s="3">
        <v>10000011130</v>
      </c>
      <c r="D213" s="3" t="s">
        <v>9</v>
      </c>
      <c r="E213" s="3" t="s">
        <v>15</v>
      </c>
      <c r="F213" s="3" t="s">
        <v>6</v>
      </c>
      <c r="G213" s="3"/>
      <c r="H213" s="6" t="s">
        <v>42</v>
      </c>
      <c r="I213" s="6" t="s">
        <v>13</v>
      </c>
      <c r="J213" s="5">
        <v>45451.581250000003</v>
      </c>
      <c r="K213" s="7">
        <f t="shared" si="3"/>
        <v>2.5694444448163267E-2</v>
      </c>
    </row>
    <row r="214" spans="1:11" ht="30" x14ac:dyDescent="0.25">
      <c r="A214" s="5">
        <v>45451.705555555556</v>
      </c>
      <c r="B214" s="3" t="s">
        <v>4</v>
      </c>
      <c r="C214" s="3">
        <v>10000000824</v>
      </c>
      <c r="D214" s="3" t="s">
        <v>9</v>
      </c>
      <c r="E214" s="3" t="s">
        <v>149</v>
      </c>
      <c r="F214" s="3" t="s">
        <v>6</v>
      </c>
      <c r="G214" s="3"/>
      <c r="H214" s="6" t="s">
        <v>210</v>
      </c>
      <c r="I214" s="6" t="s">
        <v>14</v>
      </c>
      <c r="J214" s="5">
        <v>45451.714583333334</v>
      </c>
      <c r="K214" s="7">
        <f t="shared" si="3"/>
        <v>9.0277777781011537E-3</v>
      </c>
    </row>
    <row r="215" spans="1:11" x14ac:dyDescent="0.25">
      <c r="A215" s="5">
        <v>45453.48333333333</v>
      </c>
      <c r="B215" s="3" t="s">
        <v>4</v>
      </c>
      <c r="C215" s="3">
        <v>10000514345</v>
      </c>
      <c r="D215" s="3" t="s">
        <v>9</v>
      </c>
      <c r="E215" s="3" t="s">
        <v>11</v>
      </c>
      <c r="F215" s="3" t="s">
        <v>6</v>
      </c>
      <c r="G215" s="3"/>
      <c r="H215" s="6" t="s">
        <v>42</v>
      </c>
      <c r="I215" s="6" t="s">
        <v>13</v>
      </c>
      <c r="J215" s="5">
        <v>45453.488888888889</v>
      </c>
      <c r="K215" s="7">
        <f t="shared" si="3"/>
        <v>5.5555555591126904E-3</v>
      </c>
    </row>
    <row r="216" spans="1:11" x14ac:dyDescent="0.25">
      <c r="A216" s="5">
        <v>45453.587500000001</v>
      </c>
      <c r="B216" s="3" t="s">
        <v>4</v>
      </c>
      <c r="C216" s="3">
        <v>10000514345</v>
      </c>
      <c r="D216" s="3" t="s">
        <v>9</v>
      </c>
      <c r="E216" s="3" t="s">
        <v>11</v>
      </c>
      <c r="F216" s="3" t="s">
        <v>6</v>
      </c>
      <c r="G216" s="3"/>
      <c r="H216" s="6" t="s">
        <v>42</v>
      </c>
      <c r="I216" s="6" t="s">
        <v>13</v>
      </c>
      <c r="J216" s="5">
        <v>45453.590277777781</v>
      </c>
      <c r="K216" s="7">
        <f t="shared" si="3"/>
        <v>2.7777777795563452E-3</v>
      </c>
    </row>
    <row r="217" spans="1:11" x14ac:dyDescent="0.25">
      <c r="A217" s="5">
        <v>45453.614583333336</v>
      </c>
      <c r="B217" s="3" t="s">
        <v>4</v>
      </c>
      <c r="C217" s="3">
        <v>10000514345</v>
      </c>
      <c r="D217" s="3" t="s">
        <v>9</v>
      </c>
      <c r="E217" s="3" t="s">
        <v>11</v>
      </c>
      <c r="F217" s="3" t="s">
        <v>6</v>
      </c>
      <c r="G217" s="3"/>
      <c r="H217" s="6" t="s">
        <v>42</v>
      </c>
      <c r="I217" s="6" t="s">
        <v>13</v>
      </c>
      <c r="J217" s="5">
        <v>45453.617361111108</v>
      </c>
      <c r="K217" s="7">
        <f t="shared" si="3"/>
        <v>2.7777777722803876E-3</v>
      </c>
    </row>
    <row r="218" spans="1:11" x14ac:dyDescent="0.25">
      <c r="A218" s="5">
        <v>45453.625694444447</v>
      </c>
      <c r="B218" s="3" t="s">
        <v>4</v>
      </c>
      <c r="C218" s="3">
        <v>10000514345</v>
      </c>
      <c r="D218" s="3" t="s">
        <v>9</v>
      </c>
      <c r="E218" s="3" t="s">
        <v>11</v>
      </c>
      <c r="F218" s="3" t="s">
        <v>6</v>
      </c>
      <c r="G218" s="3"/>
      <c r="H218" s="6" t="s">
        <v>42</v>
      </c>
      <c r="I218" s="6" t="s">
        <v>13</v>
      </c>
      <c r="J218" s="5">
        <v>45453.633333333331</v>
      </c>
      <c r="K218" s="7">
        <f t="shared" si="3"/>
        <v>7.6388888846850023E-3</v>
      </c>
    </row>
    <row r="219" spans="1:11" x14ac:dyDescent="0.25">
      <c r="A219" s="5">
        <v>45453.79583333333</v>
      </c>
      <c r="B219" s="3" t="s">
        <v>4</v>
      </c>
      <c r="C219" s="3">
        <v>7808270001</v>
      </c>
      <c r="D219" s="3" t="s">
        <v>9</v>
      </c>
      <c r="E219" s="3" t="s">
        <v>37</v>
      </c>
      <c r="F219" s="3" t="s">
        <v>6</v>
      </c>
      <c r="G219" s="3"/>
      <c r="H219" s="6" t="s">
        <v>101</v>
      </c>
      <c r="I219" s="6" t="s">
        <v>14</v>
      </c>
      <c r="J219" s="5">
        <v>45453.797222222223</v>
      </c>
      <c r="K219" s="7">
        <f t="shared" si="3"/>
        <v>1.3888888934161514E-3</v>
      </c>
    </row>
    <row r="220" spans="1:11" x14ac:dyDescent="0.25">
      <c r="A220" s="5">
        <v>45454.414583333331</v>
      </c>
      <c r="B220" s="3" t="s">
        <v>4</v>
      </c>
      <c r="C220" s="3">
        <v>10000581384</v>
      </c>
      <c r="D220" s="3" t="s">
        <v>10</v>
      </c>
      <c r="E220" s="3" t="s">
        <v>50</v>
      </c>
      <c r="F220" s="3" t="s">
        <v>51</v>
      </c>
      <c r="G220" s="3"/>
      <c r="H220" s="6" t="s">
        <v>245</v>
      </c>
      <c r="I220" s="6" t="s">
        <v>13</v>
      </c>
      <c r="J220" s="5">
        <v>45454.419444444444</v>
      </c>
      <c r="K220" s="7">
        <f t="shared" si="3"/>
        <v>4.8611111124046147E-3</v>
      </c>
    </row>
    <row r="221" spans="1:11" x14ac:dyDescent="0.25">
      <c r="A221" s="5">
        <v>45454.568749999999</v>
      </c>
      <c r="B221" s="3" t="s">
        <v>246</v>
      </c>
      <c r="C221" s="3">
        <v>10000569824</v>
      </c>
      <c r="D221" s="3" t="s">
        <v>9</v>
      </c>
      <c r="E221" s="3" t="s">
        <v>247</v>
      </c>
      <c r="F221" s="3" t="s">
        <v>248</v>
      </c>
      <c r="G221" s="3"/>
      <c r="H221" s="6" t="s">
        <v>249</v>
      </c>
      <c r="I221" s="6" t="s">
        <v>14</v>
      </c>
      <c r="J221" s="5">
        <v>45454.569444444445</v>
      </c>
      <c r="K221" s="7">
        <f t="shared" si="3"/>
        <v>6.944444467080757E-4</v>
      </c>
    </row>
    <row r="222" spans="1:11" x14ac:dyDescent="0.25">
      <c r="A222" s="5">
        <v>45454.568749999999</v>
      </c>
      <c r="B222" s="3" t="s">
        <v>4</v>
      </c>
      <c r="C222" s="3">
        <v>10000011130</v>
      </c>
      <c r="D222" s="3" t="s">
        <v>17</v>
      </c>
      <c r="E222" s="3" t="s">
        <v>15</v>
      </c>
      <c r="F222" s="3" t="s">
        <v>6</v>
      </c>
      <c r="G222" s="3"/>
      <c r="H222" s="6" t="s">
        <v>28</v>
      </c>
      <c r="I222" s="6" t="s">
        <v>13</v>
      </c>
      <c r="J222" s="5">
        <v>45454.649305555555</v>
      </c>
      <c r="K222" s="7">
        <f t="shared" si="3"/>
        <v>8.0555555556202307E-2</v>
      </c>
    </row>
    <row r="223" spans="1:11" x14ac:dyDescent="0.25">
      <c r="A223" s="5">
        <v>45454.701388888891</v>
      </c>
      <c r="B223" s="3" t="s">
        <v>4</v>
      </c>
      <c r="C223" s="3">
        <v>7808270001</v>
      </c>
      <c r="D223" s="3" t="s">
        <v>9</v>
      </c>
      <c r="E223" s="3" t="s">
        <v>37</v>
      </c>
      <c r="F223" s="3" t="s">
        <v>6</v>
      </c>
      <c r="G223" s="3"/>
      <c r="H223" s="6" t="s">
        <v>101</v>
      </c>
      <c r="I223" s="6" t="s">
        <v>14</v>
      </c>
      <c r="J223" s="5">
        <v>45454.703472222223</v>
      </c>
      <c r="K223" s="7">
        <f t="shared" si="3"/>
        <v>2.0833333328482695E-3</v>
      </c>
    </row>
    <row r="224" spans="1:11" x14ac:dyDescent="0.25">
      <c r="A224" s="5">
        <v>45454.702777777777</v>
      </c>
      <c r="B224" s="3" t="s">
        <v>4</v>
      </c>
      <c r="C224" s="3">
        <v>10000577752</v>
      </c>
      <c r="D224" s="3" t="s">
        <v>9</v>
      </c>
      <c r="E224" s="3" t="s">
        <v>21</v>
      </c>
      <c r="F224" s="3" t="s">
        <v>6</v>
      </c>
      <c r="G224" s="3"/>
      <c r="H224" s="6" t="s">
        <v>42</v>
      </c>
      <c r="I224" s="6" t="s">
        <v>13</v>
      </c>
      <c r="J224" s="5">
        <v>45454.729166666664</v>
      </c>
      <c r="K224" s="7">
        <f t="shared" si="3"/>
        <v>2.6388888887595385E-2</v>
      </c>
    </row>
    <row r="225" spans="1:11" ht="30" x14ac:dyDescent="0.25">
      <c r="A225" s="5">
        <v>45454.702777777777</v>
      </c>
      <c r="B225" s="3" t="s">
        <v>250</v>
      </c>
      <c r="C225" s="3">
        <v>7853300001</v>
      </c>
      <c r="D225" s="3" t="s">
        <v>9</v>
      </c>
      <c r="E225" s="3" t="s">
        <v>19</v>
      </c>
      <c r="F225" s="3" t="s">
        <v>90</v>
      </c>
      <c r="G225" s="3"/>
      <c r="H225" s="6" t="s">
        <v>251</v>
      </c>
      <c r="I225" s="6" t="s">
        <v>14</v>
      </c>
      <c r="J225" s="5">
        <v>45454.865277777775</v>
      </c>
      <c r="K225" s="7">
        <f t="shared" si="3"/>
        <v>0.16249999999854481</v>
      </c>
    </row>
    <row r="226" spans="1:11" x14ac:dyDescent="0.25">
      <c r="A226" s="5">
        <v>45454.720833333333</v>
      </c>
      <c r="B226" s="3" t="s">
        <v>4</v>
      </c>
      <c r="C226" s="3">
        <v>7810530001</v>
      </c>
      <c r="D226" s="3" t="s">
        <v>9</v>
      </c>
      <c r="E226" s="3" t="s">
        <v>26</v>
      </c>
      <c r="F226" s="3" t="s">
        <v>6</v>
      </c>
      <c r="G226" s="3"/>
      <c r="H226" s="6" t="s">
        <v>101</v>
      </c>
      <c r="I226" s="6" t="s">
        <v>14</v>
      </c>
      <c r="J226" s="5">
        <v>45454.723611111112</v>
      </c>
      <c r="K226" s="7">
        <f t="shared" si="3"/>
        <v>2.7777777795563452E-3</v>
      </c>
    </row>
    <row r="227" spans="1:11" ht="30" x14ac:dyDescent="0.25">
      <c r="A227" s="5">
        <v>45454.722222222219</v>
      </c>
      <c r="B227" s="3" t="s">
        <v>252</v>
      </c>
      <c r="C227" s="3">
        <v>10000022234</v>
      </c>
      <c r="D227" s="3" t="s">
        <v>9</v>
      </c>
      <c r="E227" s="3" t="s">
        <v>100</v>
      </c>
      <c r="F227" s="3" t="s">
        <v>90</v>
      </c>
      <c r="G227" s="3"/>
      <c r="H227" s="6" t="s">
        <v>251</v>
      </c>
      <c r="I227" s="6" t="s">
        <v>14</v>
      </c>
      <c r="J227" s="5">
        <v>45454.865277777775</v>
      </c>
      <c r="K227" s="7">
        <f t="shared" si="3"/>
        <v>0.14305555555620231</v>
      </c>
    </row>
    <row r="228" spans="1:11" x14ac:dyDescent="0.25">
      <c r="A228" s="5">
        <v>45454.727777777778</v>
      </c>
      <c r="B228" s="3" t="s">
        <v>4</v>
      </c>
      <c r="C228" s="3">
        <v>7810530001</v>
      </c>
      <c r="D228" s="3" t="s">
        <v>9</v>
      </c>
      <c r="E228" s="3" t="s">
        <v>26</v>
      </c>
      <c r="F228" s="3" t="s">
        <v>6</v>
      </c>
      <c r="G228" s="3"/>
      <c r="H228" s="6" t="s">
        <v>101</v>
      </c>
      <c r="I228" s="6" t="s">
        <v>14</v>
      </c>
      <c r="J228" s="5">
        <v>45454.756944444445</v>
      </c>
      <c r="K228" s="7">
        <f t="shared" si="3"/>
        <v>2.9166666667151731E-2</v>
      </c>
    </row>
    <row r="229" spans="1:11" ht="30" x14ac:dyDescent="0.25">
      <c r="A229" s="5">
        <v>45454.728472222225</v>
      </c>
      <c r="B229" s="3" t="s">
        <v>253</v>
      </c>
      <c r="C229" s="3">
        <v>10000058781</v>
      </c>
      <c r="D229" s="3" t="s">
        <v>9</v>
      </c>
      <c r="E229" s="3" t="s">
        <v>247</v>
      </c>
      <c r="F229" s="3" t="s">
        <v>90</v>
      </c>
      <c r="G229" s="3"/>
      <c r="H229" s="6" t="s">
        <v>251</v>
      </c>
      <c r="I229" s="6" t="s">
        <v>14</v>
      </c>
      <c r="J229" s="5">
        <v>45454.865277777775</v>
      </c>
      <c r="K229" s="7">
        <f t="shared" si="3"/>
        <v>0.13680555555038154</v>
      </c>
    </row>
    <row r="230" spans="1:11" ht="30" x14ac:dyDescent="0.25">
      <c r="A230" s="5">
        <v>45454.732638888891</v>
      </c>
      <c r="B230" s="3" t="s">
        <v>254</v>
      </c>
      <c r="C230" s="3">
        <v>6963530001</v>
      </c>
      <c r="D230" s="3" t="s">
        <v>9</v>
      </c>
      <c r="E230" s="3" t="s">
        <v>67</v>
      </c>
      <c r="F230" s="3" t="s">
        <v>90</v>
      </c>
      <c r="G230" s="3"/>
      <c r="H230" s="6" t="s">
        <v>251</v>
      </c>
      <c r="I230" s="6" t="s">
        <v>14</v>
      </c>
      <c r="J230" s="5">
        <v>45454.865277777775</v>
      </c>
      <c r="K230" s="7">
        <f t="shared" si="3"/>
        <v>0.132638888884685</v>
      </c>
    </row>
    <row r="231" spans="1:11" x14ac:dyDescent="0.25">
      <c r="A231" s="5">
        <v>45454.943055555559</v>
      </c>
      <c r="B231" s="3" t="s">
        <v>4</v>
      </c>
      <c r="C231" s="3">
        <v>7810530001</v>
      </c>
      <c r="D231" s="3" t="s">
        <v>9</v>
      </c>
      <c r="E231" s="3" t="s">
        <v>26</v>
      </c>
      <c r="F231" s="3" t="s">
        <v>6</v>
      </c>
      <c r="G231" s="3"/>
      <c r="H231" s="6" t="s">
        <v>101</v>
      </c>
      <c r="I231" s="6" t="s">
        <v>14</v>
      </c>
      <c r="J231" s="5">
        <v>45455.181250000001</v>
      </c>
      <c r="K231" s="7">
        <f t="shared" si="3"/>
        <v>0.2381944444423425</v>
      </c>
    </row>
    <row r="232" spans="1:11" x14ac:dyDescent="0.25">
      <c r="A232" s="5">
        <v>45455.025694444441</v>
      </c>
      <c r="B232" s="3" t="s">
        <v>4</v>
      </c>
      <c r="C232" s="3">
        <v>10000577752</v>
      </c>
      <c r="D232" s="3" t="s">
        <v>9</v>
      </c>
      <c r="E232" s="3" t="s">
        <v>21</v>
      </c>
      <c r="F232" s="3" t="s">
        <v>6</v>
      </c>
      <c r="G232" s="3"/>
      <c r="H232" s="6" t="s">
        <v>276</v>
      </c>
      <c r="I232" s="6" t="s">
        <v>13</v>
      </c>
      <c r="J232" s="5">
        <v>45456.760416666664</v>
      </c>
      <c r="K232" s="7">
        <f t="shared" si="3"/>
        <v>1.734722222223354</v>
      </c>
    </row>
    <row r="233" spans="1:11" x14ac:dyDescent="0.25">
      <c r="A233" s="5">
        <v>45455.415972222225</v>
      </c>
      <c r="B233" s="3" t="s">
        <v>4</v>
      </c>
      <c r="C233" s="3">
        <v>10000433514</v>
      </c>
      <c r="D233" s="3" t="s">
        <v>9</v>
      </c>
      <c r="E233" s="3" t="s">
        <v>76</v>
      </c>
      <c r="F233" s="3" t="s">
        <v>6</v>
      </c>
      <c r="G233" s="3"/>
      <c r="H233" s="6" t="s">
        <v>42</v>
      </c>
      <c r="I233" s="6" t="s">
        <v>13</v>
      </c>
      <c r="J233" s="5">
        <v>45455.422222222223</v>
      </c>
      <c r="K233" s="7">
        <f t="shared" si="3"/>
        <v>6.2499999985448085E-3</v>
      </c>
    </row>
    <row r="234" spans="1:11" x14ac:dyDescent="0.25">
      <c r="A234" s="5">
        <v>45455.416666666664</v>
      </c>
      <c r="B234" s="3" t="s">
        <v>4</v>
      </c>
      <c r="C234" s="3">
        <v>10000322160</v>
      </c>
      <c r="D234" s="3" t="s">
        <v>9</v>
      </c>
      <c r="E234" s="3" t="s">
        <v>256</v>
      </c>
      <c r="F234" s="3" t="s">
        <v>6</v>
      </c>
      <c r="G234" s="3"/>
      <c r="H234" s="6" t="s">
        <v>42</v>
      </c>
      <c r="I234" s="6" t="s">
        <v>13</v>
      </c>
      <c r="J234" s="5">
        <v>45455.42083333333</v>
      </c>
      <c r="K234" s="7">
        <f t="shared" si="3"/>
        <v>4.166666665696539E-3</v>
      </c>
    </row>
    <row r="235" spans="1:11" x14ac:dyDescent="0.25">
      <c r="A235" s="5">
        <v>45455.559027777781</v>
      </c>
      <c r="B235" s="3" t="s">
        <v>257</v>
      </c>
      <c r="C235" s="3">
        <v>6998930001</v>
      </c>
      <c r="D235" s="3" t="s">
        <v>9</v>
      </c>
      <c r="E235" s="3" t="s">
        <v>155</v>
      </c>
      <c r="F235" s="3" t="s">
        <v>6</v>
      </c>
      <c r="G235" s="3"/>
      <c r="H235" s="6" t="s">
        <v>258</v>
      </c>
      <c r="I235" s="6" t="s">
        <v>14</v>
      </c>
      <c r="J235" s="5">
        <v>45455.779861111114</v>
      </c>
      <c r="K235" s="7">
        <f t="shared" si="3"/>
        <v>0.22083333333284827</v>
      </c>
    </row>
    <row r="236" spans="1:11" x14ac:dyDescent="0.25">
      <c r="A236" s="5">
        <v>45455.604166666664</v>
      </c>
      <c r="B236" s="3" t="s">
        <v>4</v>
      </c>
      <c r="C236" s="3">
        <v>7808270001</v>
      </c>
      <c r="D236" s="3" t="s">
        <v>9</v>
      </c>
      <c r="E236" s="3" t="s">
        <v>37</v>
      </c>
      <c r="F236" s="3" t="s">
        <v>6</v>
      </c>
      <c r="G236" s="3"/>
      <c r="H236" s="6" t="s">
        <v>101</v>
      </c>
      <c r="I236" s="6" t="s">
        <v>14</v>
      </c>
      <c r="J236" s="5">
        <v>45455.604861111111</v>
      </c>
      <c r="K236" s="7">
        <f t="shared" si="3"/>
        <v>6.944444467080757E-4</v>
      </c>
    </row>
    <row r="237" spans="1:11" x14ac:dyDescent="0.25">
      <c r="A237" s="5">
        <v>45455.62222222222</v>
      </c>
      <c r="B237" s="3" t="s">
        <v>4</v>
      </c>
      <c r="C237" s="3">
        <v>10000514345</v>
      </c>
      <c r="D237" s="3" t="s">
        <v>9</v>
      </c>
      <c r="E237" s="3" t="s">
        <v>11</v>
      </c>
      <c r="F237" s="3" t="s">
        <v>6</v>
      </c>
      <c r="G237" s="3"/>
      <c r="H237" s="6" t="s">
        <v>42</v>
      </c>
      <c r="I237" s="6" t="s">
        <v>13</v>
      </c>
      <c r="J237" s="5">
        <v>45455.624305555553</v>
      </c>
      <c r="K237" s="7">
        <f t="shared" si="3"/>
        <v>2.0833333328482695E-3</v>
      </c>
    </row>
    <row r="238" spans="1:11" x14ac:dyDescent="0.25">
      <c r="A238" s="5">
        <v>45455.711805555555</v>
      </c>
      <c r="B238" s="3" t="s">
        <v>4</v>
      </c>
      <c r="C238" s="3">
        <v>10000058625</v>
      </c>
      <c r="D238" s="3" t="s">
        <v>9</v>
      </c>
      <c r="E238" s="3" t="s">
        <v>41</v>
      </c>
      <c r="F238" s="3" t="s">
        <v>6</v>
      </c>
      <c r="G238" s="3"/>
      <c r="H238" s="6" t="s">
        <v>259</v>
      </c>
      <c r="I238" s="6" t="s">
        <v>14</v>
      </c>
      <c r="J238" s="5">
        <v>45455.72152777778</v>
      </c>
      <c r="K238" s="7">
        <f t="shared" si="3"/>
        <v>9.7222222248092294E-3</v>
      </c>
    </row>
    <row r="239" spans="1:11" x14ac:dyDescent="0.25">
      <c r="A239" s="5">
        <v>45455.74722222222</v>
      </c>
      <c r="B239" s="3" t="s">
        <v>260</v>
      </c>
      <c r="C239" s="3">
        <v>10000000822</v>
      </c>
      <c r="D239" s="3" t="s">
        <v>9</v>
      </c>
      <c r="E239" s="3" t="s">
        <v>179</v>
      </c>
      <c r="F239" s="3" t="s">
        <v>6</v>
      </c>
      <c r="G239" s="3"/>
      <c r="H239" s="6" t="s">
        <v>261</v>
      </c>
      <c r="I239" s="6" t="s">
        <v>14</v>
      </c>
      <c r="J239" s="5">
        <v>45455.78125</v>
      </c>
      <c r="K239" s="7">
        <f t="shared" si="3"/>
        <v>3.4027777779556345E-2</v>
      </c>
    </row>
    <row r="240" spans="1:11" x14ac:dyDescent="0.25">
      <c r="A240" s="5">
        <v>45455.748611111114</v>
      </c>
      <c r="B240" s="3" t="s">
        <v>4</v>
      </c>
      <c r="C240" s="3">
        <v>10000022240</v>
      </c>
      <c r="D240" s="3" t="s">
        <v>9</v>
      </c>
      <c r="E240" s="3" t="s">
        <v>263</v>
      </c>
      <c r="F240" s="3" t="s">
        <v>6</v>
      </c>
      <c r="G240" s="3"/>
      <c r="H240" s="13" t="s">
        <v>262</v>
      </c>
      <c r="I240" s="6" t="s">
        <v>14</v>
      </c>
      <c r="J240" s="5">
        <v>45455.78125</v>
      </c>
      <c r="K240" s="7">
        <f t="shared" si="3"/>
        <v>3.2638888886140194E-2</v>
      </c>
    </row>
    <row r="241" spans="1:11" x14ac:dyDescent="0.25">
      <c r="A241" s="5">
        <v>45455.748611111114</v>
      </c>
      <c r="B241" s="3" t="s">
        <v>4</v>
      </c>
      <c r="C241" s="3">
        <v>6963530001</v>
      </c>
      <c r="D241" s="3" t="s">
        <v>9</v>
      </c>
      <c r="E241" s="3" t="s">
        <v>67</v>
      </c>
      <c r="F241" s="3" t="s">
        <v>6</v>
      </c>
      <c r="G241" s="3"/>
      <c r="H241" s="13" t="s">
        <v>262</v>
      </c>
      <c r="I241" s="6" t="s">
        <v>14</v>
      </c>
      <c r="J241" s="5">
        <v>45455.78125</v>
      </c>
      <c r="K241" s="7">
        <f t="shared" si="3"/>
        <v>3.2638888886140194E-2</v>
      </c>
    </row>
    <row r="242" spans="1:11" x14ac:dyDescent="0.25">
      <c r="A242" s="5">
        <v>45455.749305555553</v>
      </c>
      <c r="B242" s="3" t="s">
        <v>4</v>
      </c>
      <c r="C242" s="3">
        <v>10000058781</v>
      </c>
      <c r="D242" s="3" t="s">
        <v>9</v>
      </c>
      <c r="E242" s="3" t="s">
        <v>247</v>
      </c>
      <c r="F242" s="3" t="s">
        <v>6</v>
      </c>
      <c r="G242" s="3"/>
      <c r="H242" s="13" t="s">
        <v>262</v>
      </c>
      <c r="I242" s="6" t="s">
        <v>14</v>
      </c>
      <c r="J242" s="5">
        <v>45455.78125</v>
      </c>
      <c r="K242" s="7">
        <f t="shared" si="3"/>
        <v>3.1944444446708076E-2</v>
      </c>
    </row>
    <row r="243" spans="1:11" x14ac:dyDescent="0.25">
      <c r="A243" s="5">
        <v>45455.749305555553</v>
      </c>
      <c r="B243" s="3" t="s">
        <v>4</v>
      </c>
      <c r="C243" s="3">
        <v>10000002550</v>
      </c>
      <c r="D243" s="3" t="s">
        <v>9</v>
      </c>
      <c r="E243" s="3" t="s">
        <v>264</v>
      </c>
      <c r="F243" s="3" t="s">
        <v>6</v>
      </c>
      <c r="G243" s="3"/>
      <c r="H243" s="13" t="s">
        <v>262</v>
      </c>
      <c r="I243" s="6" t="s">
        <v>14</v>
      </c>
      <c r="J243" s="5">
        <v>45455.78125</v>
      </c>
      <c r="K243" s="7">
        <f t="shared" si="3"/>
        <v>3.1944444446708076E-2</v>
      </c>
    </row>
    <row r="244" spans="1:11" x14ac:dyDescent="0.25">
      <c r="A244" s="5">
        <v>45455.75</v>
      </c>
      <c r="B244" s="3" t="s">
        <v>267</v>
      </c>
      <c r="C244" s="3">
        <v>10000000824</v>
      </c>
      <c r="D244" s="3" t="s">
        <v>9</v>
      </c>
      <c r="E244" s="3" t="s">
        <v>149</v>
      </c>
      <c r="F244" s="3" t="s">
        <v>6</v>
      </c>
      <c r="G244" s="3"/>
      <c r="H244" s="13" t="s">
        <v>262</v>
      </c>
      <c r="I244" s="6" t="s">
        <v>14</v>
      </c>
      <c r="J244" s="5">
        <v>45455.780555555553</v>
      </c>
      <c r="K244" s="7">
        <f t="shared" si="3"/>
        <v>3.0555555553291924E-2</v>
      </c>
    </row>
    <row r="245" spans="1:11" x14ac:dyDescent="0.25">
      <c r="A245" s="5">
        <v>45455.75</v>
      </c>
      <c r="B245" s="3" t="s">
        <v>266</v>
      </c>
      <c r="C245" s="3">
        <v>10000000853</v>
      </c>
      <c r="D245" s="3" t="s">
        <v>9</v>
      </c>
      <c r="E245" s="3" t="s">
        <v>62</v>
      </c>
      <c r="F245" s="3" t="s">
        <v>6</v>
      </c>
      <c r="G245" s="3"/>
      <c r="H245" s="13" t="s">
        <v>262</v>
      </c>
      <c r="I245" s="6" t="s">
        <v>14</v>
      </c>
      <c r="J245" s="5">
        <v>45455.780555555553</v>
      </c>
      <c r="K245" s="7">
        <f t="shared" si="3"/>
        <v>3.0555555553291924E-2</v>
      </c>
    </row>
    <row r="246" spans="1:11" x14ac:dyDescent="0.25">
      <c r="A246" s="5">
        <v>45455.75</v>
      </c>
      <c r="B246" s="3" t="s">
        <v>4</v>
      </c>
      <c r="C246" s="3">
        <v>10000317748</v>
      </c>
      <c r="D246" s="3" t="s">
        <v>9</v>
      </c>
      <c r="E246" s="3" t="s">
        <v>265</v>
      </c>
      <c r="F246" s="3" t="s">
        <v>6</v>
      </c>
      <c r="G246" s="3"/>
      <c r="H246" s="13" t="s">
        <v>262</v>
      </c>
      <c r="I246" s="6" t="s">
        <v>14</v>
      </c>
      <c r="J246" s="5">
        <v>45455.780555555553</v>
      </c>
      <c r="K246" s="7">
        <f t="shared" si="3"/>
        <v>3.0555555553291924E-2</v>
      </c>
    </row>
    <row r="247" spans="1:11" x14ac:dyDescent="0.25">
      <c r="A247" s="5">
        <v>45455.750694444447</v>
      </c>
      <c r="B247" s="3" t="s">
        <v>4</v>
      </c>
      <c r="C247" s="3">
        <v>10000009996</v>
      </c>
      <c r="D247" s="3" t="s">
        <v>9</v>
      </c>
      <c r="E247" s="3" t="s">
        <v>92</v>
      </c>
      <c r="F247" s="3" t="s">
        <v>6</v>
      </c>
      <c r="G247" s="3"/>
      <c r="H247" s="13" t="s">
        <v>262</v>
      </c>
      <c r="I247" s="6" t="s">
        <v>14</v>
      </c>
      <c r="J247" s="5">
        <v>45455.780555555553</v>
      </c>
      <c r="K247" s="7">
        <f t="shared" si="3"/>
        <v>2.9861111106583849E-2</v>
      </c>
    </row>
    <row r="248" spans="1:11" x14ac:dyDescent="0.25">
      <c r="A248" s="5">
        <v>45455.750694444447</v>
      </c>
      <c r="B248" s="3" t="s">
        <v>4</v>
      </c>
      <c r="C248" s="3">
        <v>10000022234</v>
      </c>
      <c r="D248" s="3" t="s">
        <v>9</v>
      </c>
      <c r="E248" s="3" t="s">
        <v>100</v>
      </c>
      <c r="F248" s="3" t="s">
        <v>6</v>
      </c>
      <c r="G248" s="3"/>
      <c r="H248" s="13" t="s">
        <v>262</v>
      </c>
      <c r="I248" s="6" t="s">
        <v>14</v>
      </c>
      <c r="J248" s="5">
        <v>45455.780555555553</v>
      </c>
      <c r="K248" s="7">
        <f t="shared" si="3"/>
        <v>2.9861111106583849E-2</v>
      </c>
    </row>
    <row r="249" spans="1:11" x14ac:dyDescent="0.25">
      <c r="A249" s="5">
        <v>45455.751388888886</v>
      </c>
      <c r="B249" s="3" t="s">
        <v>269</v>
      </c>
      <c r="C249" s="3">
        <v>7853300001</v>
      </c>
      <c r="D249" s="3" t="s">
        <v>9</v>
      </c>
      <c r="E249" s="3" t="s">
        <v>19</v>
      </c>
      <c r="F249" s="3" t="s">
        <v>6</v>
      </c>
      <c r="G249" s="3"/>
      <c r="H249" s="13" t="s">
        <v>262</v>
      </c>
      <c r="I249" s="6" t="s">
        <v>14</v>
      </c>
      <c r="J249" s="5">
        <v>45455.780555555553</v>
      </c>
      <c r="K249" s="7">
        <f t="shared" si="3"/>
        <v>2.9166666667151731E-2</v>
      </c>
    </row>
    <row r="250" spans="1:11" x14ac:dyDescent="0.25">
      <c r="A250" s="5">
        <v>45455.751388888886</v>
      </c>
      <c r="B250" s="3" t="s">
        <v>4</v>
      </c>
      <c r="C250" s="3">
        <v>10000083448</v>
      </c>
      <c r="D250" s="3" t="s">
        <v>45</v>
      </c>
      <c r="E250" s="3" t="s">
        <v>268</v>
      </c>
      <c r="F250" s="3" t="s">
        <v>6</v>
      </c>
      <c r="G250" s="3"/>
      <c r="H250" s="13" t="s">
        <v>262</v>
      </c>
      <c r="I250" s="6" t="s">
        <v>14</v>
      </c>
      <c r="J250" s="5">
        <v>45455.780555555553</v>
      </c>
      <c r="K250" s="7">
        <f t="shared" si="3"/>
        <v>2.9166666667151731E-2</v>
      </c>
    </row>
    <row r="251" spans="1:11" x14ac:dyDescent="0.25">
      <c r="A251" s="5">
        <v>45455.816666666666</v>
      </c>
      <c r="B251" s="3" t="s">
        <v>4</v>
      </c>
      <c r="C251" s="3">
        <v>10000058627</v>
      </c>
      <c r="D251" s="3" t="s">
        <v>9</v>
      </c>
      <c r="E251" s="3" t="s">
        <v>160</v>
      </c>
      <c r="F251" s="3" t="s">
        <v>6</v>
      </c>
      <c r="G251" s="3"/>
      <c r="H251" s="13" t="s">
        <v>262</v>
      </c>
      <c r="I251" s="6" t="s">
        <v>14</v>
      </c>
      <c r="J251" s="5">
        <v>45455.816666666666</v>
      </c>
      <c r="K251" s="7">
        <f t="shared" si="3"/>
        <v>0</v>
      </c>
    </row>
    <row r="252" spans="1:11" x14ac:dyDescent="0.25">
      <c r="A252" s="5">
        <v>45456.328472222223</v>
      </c>
      <c r="B252" s="3" t="s">
        <v>270</v>
      </c>
      <c r="C252" s="3">
        <v>10000450331</v>
      </c>
      <c r="D252" s="3" t="s">
        <v>9</v>
      </c>
      <c r="E252" s="3" t="s">
        <v>217</v>
      </c>
      <c r="F252" s="3" t="s">
        <v>6</v>
      </c>
      <c r="G252" s="3"/>
      <c r="H252" s="13" t="s">
        <v>271</v>
      </c>
      <c r="I252" s="6" t="s">
        <v>14</v>
      </c>
      <c r="J252" s="5">
        <v>45457.186805555553</v>
      </c>
      <c r="K252" s="7">
        <f t="shared" si="3"/>
        <v>0.85833333332993789</v>
      </c>
    </row>
    <row r="253" spans="1:11" ht="30" x14ac:dyDescent="0.25">
      <c r="A253" s="5">
        <v>45456.602777777778</v>
      </c>
      <c r="B253" s="3" t="s">
        <v>272</v>
      </c>
      <c r="C253" s="3">
        <v>10000304622</v>
      </c>
      <c r="D253" s="3" t="s">
        <v>134</v>
      </c>
      <c r="E253" s="3" t="s">
        <v>273</v>
      </c>
      <c r="F253" s="3" t="s">
        <v>274</v>
      </c>
      <c r="G253" s="3"/>
      <c r="H253" s="6" t="s">
        <v>275</v>
      </c>
      <c r="I253" s="6" t="s">
        <v>14</v>
      </c>
      <c r="J253" s="5">
        <v>45456.636805555558</v>
      </c>
      <c r="K253" s="7">
        <f t="shared" si="3"/>
        <v>3.4027777779556345E-2</v>
      </c>
    </row>
    <row r="254" spans="1:11" x14ac:dyDescent="0.25">
      <c r="A254" s="5">
        <v>45456.803472222222</v>
      </c>
      <c r="B254" s="3" t="s">
        <v>277</v>
      </c>
      <c r="C254" s="3">
        <v>10000577752</v>
      </c>
      <c r="D254" s="3" t="s">
        <v>9</v>
      </c>
      <c r="E254" s="3" t="s">
        <v>21</v>
      </c>
      <c r="F254" s="3" t="s">
        <v>6</v>
      </c>
      <c r="G254" s="3"/>
      <c r="H254" s="6" t="s">
        <v>283</v>
      </c>
      <c r="I254" s="6" t="s">
        <v>14</v>
      </c>
      <c r="J254" s="5">
        <v>45460.697222222225</v>
      </c>
      <c r="K254" s="7">
        <f t="shared" si="3"/>
        <v>3.8937500000029104</v>
      </c>
    </row>
    <row r="255" spans="1:11" x14ac:dyDescent="0.25">
      <c r="A255" s="5">
        <v>45457.556250000001</v>
      </c>
      <c r="B255" s="3" t="s">
        <v>4</v>
      </c>
      <c r="C255" s="3">
        <v>10000058627</v>
      </c>
      <c r="D255" s="3" t="s">
        <v>9</v>
      </c>
      <c r="E255" s="3" t="s">
        <v>160</v>
      </c>
      <c r="F255" s="3" t="s">
        <v>6</v>
      </c>
      <c r="G255" s="3"/>
      <c r="H255" s="6" t="s">
        <v>278</v>
      </c>
      <c r="I255" s="6" t="s">
        <v>14</v>
      </c>
      <c r="J255" s="5">
        <v>45457.561111111114</v>
      </c>
      <c r="K255" s="7">
        <f t="shared" si="3"/>
        <v>4.8611111124046147E-3</v>
      </c>
    </row>
    <row r="256" spans="1:11" x14ac:dyDescent="0.25">
      <c r="A256" s="5">
        <v>45457.556944444441</v>
      </c>
      <c r="B256" s="3" t="s">
        <v>4</v>
      </c>
      <c r="C256" s="3">
        <v>7853300001</v>
      </c>
      <c r="D256" s="3" t="s">
        <v>9</v>
      </c>
      <c r="E256" s="3" t="s">
        <v>19</v>
      </c>
      <c r="F256" s="3" t="s">
        <v>6</v>
      </c>
      <c r="G256" s="3"/>
      <c r="H256" s="6" t="s">
        <v>278</v>
      </c>
      <c r="I256" s="6" t="s">
        <v>14</v>
      </c>
      <c r="J256" s="5">
        <v>45457.561111111114</v>
      </c>
      <c r="K256" s="7">
        <f t="shared" si="3"/>
        <v>4.1666666729724966E-3</v>
      </c>
    </row>
    <row r="257" spans="1:11" x14ac:dyDescent="0.25">
      <c r="A257" s="5">
        <v>45457.573611111111</v>
      </c>
      <c r="B257" s="3" t="s">
        <v>4</v>
      </c>
      <c r="C257" s="3">
        <v>7808270001</v>
      </c>
      <c r="D257" s="3" t="s">
        <v>9</v>
      </c>
      <c r="E257" s="3" t="s">
        <v>37</v>
      </c>
      <c r="F257" s="3" t="s">
        <v>6</v>
      </c>
      <c r="G257" s="3"/>
      <c r="H257" s="6" t="s">
        <v>279</v>
      </c>
      <c r="I257" s="6" t="s">
        <v>14</v>
      </c>
      <c r="J257" s="5">
        <v>45457.574999999997</v>
      </c>
      <c r="K257" s="7">
        <f t="shared" si="3"/>
        <v>1.3888888861401938E-3</v>
      </c>
    </row>
    <row r="258" spans="1:11" x14ac:dyDescent="0.25">
      <c r="A258" s="5">
        <v>45457.988194444442</v>
      </c>
      <c r="B258" s="3" t="s">
        <v>4</v>
      </c>
      <c r="C258" s="3">
        <v>7853300001</v>
      </c>
      <c r="D258" s="3" t="s">
        <v>9</v>
      </c>
      <c r="E258" s="3" t="s">
        <v>19</v>
      </c>
      <c r="F258" s="3" t="s">
        <v>6</v>
      </c>
      <c r="G258" s="3"/>
      <c r="H258" s="6" t="s">
        <v>278</v>
      </c>
      <c r="I258" s="6" t="s">
        <v>14</v>
      </c>
      <c r="J258" s="5">
        <v>45458.426388888889</v>
      </c>
      <c r="K258" s="7">
        <f t="shared" si="3"/>
        <v>0.43819444444670808</v>
      </c>
    </row>
    <row r="259" spans="1:11" x14ac:dyDescent="0.25">
      <c r="A259" s="5">
        <v>45457.990277777775</v>
      </c>
      <c r="B259" s="3" t="s">
        <v>4</v>
      </c>
      <c r="C259" s="3">
        <v>10000058627</v>
      </c>
      <c r="D259" s="3" t="s">
        <v>9</v>
      </c>
      <c r="E259" s="3" t="s">
        <v>160</v>
      </c>
      <c r="F259" s="3" t="s">
        <v>6</v>
      </c>
      <c r="G259" s="3"/>
      <c r="H259" s="6" t="s">
        <v>278</v>
      </c>
      <c r="I259" s="6" t="s">
        <v>14</v>
      </c>
      <c r="J259" s="5">
        <v>45458.429166666669</v>
      </c>
      <c r="K259" s="7">
        <f t="shared" si="3"/>
        <v>0.43888888889341615</v>
      </c>
    </row>
    <row r="260" spans="1:11" x14ac:dyDescent="0.25">
      <c r="A260" s="5">
        <v>45458.580555555556</v>
      </c>
      <c r="B260" s="3" t="s">
        <v>4</v>
      </c>
      <c r="C260" s="3">
        <v>10000514345</v>
      </c>
      <c r="D260" s="3" t="s">
        <v>9</v>
      </c>
      <c r="E260" s="3" t="s">
        <v>11</v>
      </c>
      <c r="F260" s="3" t="s">
        <v>6</v>
      </c>
      <c r="G260" s="3"/>
      <c r="H260" s="6" t="s">
        <v>42</v>
      </c>
      <c r="I260" s="6" t="s">
        <v>13</v>
      </c>
      <c r="J260" s="5">
        <v>45458.586111111108</v>
      </c>
      <c r="K260" s="7">
        <f t="shared" si="3"/>
        <v>5.5555555518367328E-3</v>
      </c>
    </row>
    <row r="261" spans="1:11" x14ac:dyDescent="0.25">
      <c r="A261" s="5">
        <v>45458.709027777775</v>
      </c>
      <c r="B261" s="3" t="s">
        <v>4</v>
      </c>
      <c r="C261" s="3">
        <v>10000058627</v>
      </c>
      <c r="D261" s="3" t="s">
        <v>9</v>
      </c>
      <c r="E261" s="3" t="s">
        <v>160</v>
      </c>
      <c r="F261" s="3" t="s">
        <v>6</v>
      </c>
      <c r="G261" s="3"/>
      <c r="H261" s="6" t="s">
        <v>280</v>
      </c>
      <c r="I261" s="6" t="s">
        <v>14</v>
      </c>
      <c r="J261" s="5">
        <v>45458.712500000001</v>
      </c>
      <c r="K261" s="7">
        <f t="shared" ref="K261:K324" si="4">J261-A261</f>
        <v>3.4722222262644209E-3</v>
      </c>
    </row>
    <row r="262" spans="1:11" x14ac:dyDescent="0.25">
      <c r="A262" s="5">
        <v>45458.709027777775</v>
      </c>
      <c r="B262" s="3" t="s">
        <v>4</v>
      </c>
      <c r="C262" s="3">
        <v>7853300001</v>
      </c>
      <c r="D262" s="3" t="s">
        <v>9</v>
      </c>
      <c r="E262" s="3" t="s">
        <v>19</v>
      </c>
      <c r="F262" s="3" t="s">
        <v>6</v>
      </c>
      <c r="G262" s="3"/>
      <c r="H262" s="6" t="s">
        <v>280</v>
      </c>
      <c r="I262" s="6" t="s">
        <v>14</v>
      </c>
      <c r="J262" s="5">
        <v>45458.712500000001</v>
      </c>
      <c r="K262" s="7">
        <f t="shared" si="4"/>
        <v>3.4722222262644209E-3</v>
      </c>
    </row>
    <row r="263" spans="1:11" x14ac:dyDescent="0.25">
      <c r="A263" s="5">
        <v>45458.820138888892</v>
      </c>
      <c r="B263" s="3" t="s">
        <v>4</v>
      </c>
      <c r="C263" s="3">
        <v>10000514345</v>
      </c>
      <c r="D263" s="3" t="s">
        <v>9</v>
      </c>
      <c r="E263" s="3" t="s">
        <v>11</v>
      </c>
      <c r="F263" s="3" t="s">
        <v>6</v>
      </c>
      <c r="G263" s="3"/>
      <c r="H263" s="6" t="s">
        <v>42</v>
      </c>
      <c r="I263" s="6" t="s">
        <v>13</v>
      </c>
      <c r="J263" s="5">
        <v>45458.822916666664</v>
      </c>
      <c r="K263" s="7">
        <f t="shared" si="4"/>
        <v>2.7777777722803876E-3</v>
      </c>
    </row>
    <row r="264" spans="1:11" x14ac:dyDescent="0.25">
      <c r="A264" s="5">
        <v>45459.62222222222</v>
      </c>
      <c r="B264" s="3" t="s">
        <v>4</v>
      </c>
      <c r="C264" s="3">
        <v>10000514345</v>
      </c>
      <c r="D264" s="3" t="s">
        <v>9</v>
      </c>
      <c r="E264" s="3" t="s">
        <v>11</v>
      </c>
      <c r="F264" s="3" t="s">
        <v>6</v>
      </c>
      <c r="G264" s="3"/>
      <c r="H264" s="6" t="s">
        <v>42</v>
      </c>
      <c r="I264" s="6" t="s">
        <v>13</v>
      </c>
      <c r="J264" s="5">
        <v>45459.624305555553</v>
      </c>
      <c r="K264" s="7">
        <f t="shared" si="4"/>
        <v>2.0833333328482695E-3</v>
      </c>
    </row>
    <row r="265" spans="1:11" x14ac:dyDescent="0.25">
      <c r="A265" s="5">
        <v>45461.047222222223</v>
      </c>
      <c r="B265" s="3" t="s">
        <v>4</v>
      </c>
      <c r="C265" s="3">
        <v>10000138837</v>
      </c>
      <c r="D265" s="3" t="s">
        <v>10</v>
      </c>
      <c r="E265" s="3" t="s">
        <v>64</v>
      </c>
      <c r="F265" s="3" t="s">
        <v>281</v>
      </c>
      <c r="G265" s="3"/>
      <c r="H265" s="6" t="s">
        <v>282</v>
      </c>
      <c r="I265" s="6" t="s">
        <v>14</v>
      </c>
      <c r="J265" s="5">
        <v>45461.048611111109</v>
      </c>
      <c r="K265" s="7">
        <f t="shared" si="4"/>
        <v>1.3888888861401938E-3</v>
      </c>
    </row>
    <row r="266" spans="1:11" x14ac:dyDescent="0.25">
      <c r="A266" s="5">
        <v>45461.511805555558</v>
      </c>
      <c r="B266" s="3" t="s">
        <v>284</v>
      </c>
      <c r="C266" s="3">
        <v>10000577752</v>
      </c>
      <c r="D266" s="3" t="s">
        <v>9</v>
      </c>
      <c r="E266" s="3" t="s">
        <v>21</v>
      </c>
      <c r="F266" s="3" t="s">
        <v>285</v>
      </c>
      <c r="G266" s="3"/>
      <c r="H266" s="6" t="s">
        <v>288</v>
      </c>
      <c r="I266" s="6" t="s">
        <v>13</v>
      </c>
      <c r="J266" s="5">
        <v>45461.558333333334</v>
      </c>
      <c r="K266" s="7">
        <f t="shared" si="4"/>
        <v>4.6527777776645962E-2</v>
      </c>
    </row>
    <row r="267" spans="1:11" x14ac:dyDescent="0.25">
      <c r="A267" s="5">
        <v>45461.631249999999</v>
      </c>
      <c r="B267" s="3" t="s">
        <v>286</v>
      </c>
      <c r="C267" s="3">
        <v>10000011130</v>
      </c>
      <c r="D267" s="3" t="s">
        <v>17</v>
      </c>
      <c r="E267" s="3" t="s">
        <v>15</v>
      </c>
      <c r="F267" s="3" t="s">
        <v>6</v>
      </c>
      <c r="G267" s="3"/>
      <c r="H267" s="6" t="s">
        <v>287</v>
      </c>
      <c r="I267" s="6" t="s">
        <v>14</v>
      </c>
      <c r="J267" s="5">
        <v>45461.646527777775</v>
      </c>
      <c r="K267" s="7">
        <f t="shared" si="4"/>
        <v>1.5277777776645962E-2</v>
      </c>
    </row>
    <row r="268" spans="1:11" x14ac:dyDescent="0.25">
      <c r="A268" s="5">
        <v>45462.46875</v>
      </c>
      <c r="B268" s="3" t="s">
        <v>4</v>
      </c>
      <c r="C268" s="3">
        <v>10000514345</v>
      </c>
      <c r="D268" s="3" t="s">
        <v>9</v>
      </c>
      <c r="E268" s="3" t="s">
        <v>11</v>
      </c>
      <c r="F268" s="3" t="s">
        <v>6</v>
      </c>
      <c r="G268" s="3"/>
      <c r="H268" s="6" t="s">
        <v>42</v>
      </c>
      <c r="I268" s="6" t="s">
        <v>13</v>
      </c>
      <c r="J268" s="5">
        <v>45462.478472222225</v>
      </c>
      <c r="K268" s="7">
        <f t="shared" si="4"/>
        <v>9.7222222248092294E-3</v>
      </c>
    </row>
    <row r="269" spans="1:11" x14ac:dyDescent="0.25">
      <c r="A269" s="5">
        <v>45462.538888888892</v>
      </c>
      <c r="B269" s="3" t="s">
        <v>4</v>
      </c>
      <c r="C269" s="3">
        <v>10000514345</v>
      </c>
      <c r="D269" s="3" t="s">
        <v>9</v>
      </c>
      <c r="E269" s="3" t="s">
        <v>11</v>
      </c>
      <c r="F269" s="3" t="s">
        <v>6</v>
      </c>
      <c r="G269" s="3"/>
      <c r="H269" s="6" t="s">
        <v>42</v>
      </c>
      <c r="I269" s="6" t="s">
        <v>13</v>
      </c>
      <c r="J269" s="5">
        <v>45462.540277777778</v>
      </c>
      <c r="K269" s="7">
        <f t="shared" si="4"/>
        <v>1.3888888861401938E-3</v>
      </c>
    </row>
    <row r="270" spans="1:11" x14ac:dyDescent="0.25">
      <c r="A270" s="5">
        <v>45462.580555555556</v>
      </c>
      <c r="B270" s="3" t="s">
        <v>4</v>
      </c>
      <c r="C270" s="3">
        <v>10000058627</v>
      </c>
      <c r="D270" s="3" t="s">
        <v>9</v>
      </c>
      <c r="E270" s="3" t="s">
        <v>160</v>
      </c>
      <c r="F270" s="3" t="s">
        <v>6</v>
      </c>
      <c r="G270" s="3"/>
      <c r="H270" s="6" t="s">
        <v>63</v>
      </c>
      <c r="I270" s="6" t="s">
        <v>14</v>
      </c>
      <c r="J270" s="5">
        <v>45462.582638888889</v>
      </c>
      <c r="K270" s="7">
        <f t="shared" si="4"/>
        <v>2.0833333328482695E-3</v>
      </c>
    </row>
    <row r="271" spans="1:11" x14ac:dyDescent="0.25">
      <c r="A271" s="5">
        <v>45462.580555555556</v>
      </c>
      <c r="B271" s="3" t="s">
        <v>4</v>
      </c>
      <c r="C271" s="3">
        <v>7853300001</v>
      </c>
      <c r="D271" s="3" t="s">
        <v>9</v>
      </c>
      <c r="E271" s="3" t="s">
        <v>19</v>
      </c>
      <c r="F271" s="3" t="s">
        <v>6</v>
      </c>
      <c r="G271" s="3"/>
      <c r="H271" s="6" t="s">
        <v>63</v>
      </c>
      <c r="I271" s="6" t="s">
        <v>14</v>
      </c>
      <c r="J271" s="5">
        <v>45462.582638888889</v>
      </c>
      <c r="K271" s="7">
        <f t="shared" si="4"/>
        <v>2.0833333328482695E-3</v>
      </c>
    </row>
    <row r="272" spans="1:11" x14ac:dyDescent="0.25">
      <c r="A272" s="5">
        <v>45462.768055555556</v>
      </c>
      <c r="B272" s="3" t="s">
        <v>4</v>
      </c>
      <c r="C272" s="3">
        <v>10000009996</v>
      </c>
      <c r="D272" s="3" t="s">
        <v>9</v>
      </c>
      <c r="E272" s="3" t="s">
        <v>92</v>
      </c>
      <c r="F272" s="3" t="s">
        <v>6</v>
      </c>
      <c r="G272" s="3"/>
      <c r="H272" s="6" t="s">
        <v>42</v>
      </c>
      <c r="I272" s="6" t="s">
        <v>13</v>
      </c>
      <c r="J272" s="5">
        <v>45462.780555555553</v>
      </c>
      <c r="K272" s="7">
        <f t="shared" si="4"/>
        <v>1.2499999997089617E-2</v>
      </c>
    </row>
    <row r="273" spans="1:11" x14ac:dyDescent="0.25">
      <c r="A273" s="5">
        <v>45463.313194444447</v>
      </c>
      <c r="B273" s="3" t="s">
        <v>4</v>
      </c>
      <c r="C273" s="3">
        <v>10000000824</v>
      </c>
      <c r="D273" s="3" t="s">
        <v>9</v>
      </c>
      <c r="E273" s="3" t="s">
        <v>149</v>
      </c>
      <c r="F273" s="3" t="s">
        <v>6</v>
      </c>
      <c r="G273" s="3"/>
      <c r="H273" s="6" t="s">
        <v>259</v>
      </c>
      <c r="I273" s="6" t="s">
        <v>14</v>
      </c>
      <c r="J273" s="5">
        <v>45463.314583333333</v>
      </c>
      <c r="K273" s="7">
        <f t="shared" si="4"/>
        <v>1.3888888861401938E-3</v>
      </c>
    </row>
    <row r="274" spans="1:11" x14ac:dyDescent="0.25">
      <c r="A274" s="5">
        <v>45463.368750000001</v>
      </c>
      <c r="B274" s="3" t="s">
        <v>4</v>
      </c>
      <c r="C274" s="3">
        <v>10000000822</v>
      </c>
      <c r="D274" s="3" t="s">
        <v>9</v>
      </c>
      <c r="E274" s="3" t="s">
        <v>179</v>
      </c>
      <c r="F274" s="3" t="s">
        <v>6</v>
      </c>
      <c r="G274" s="3"/>
      <c r="H274" s="6" t="s">
        <v>42</v>
      </c>
      <c r="I274" s="6" t="s">
        <v>13</v>
      </c>
      <c r="J274" s="5">
        <v>45463.552083333336</v>
      </c>
      <c r="K274" s="7">
        <f t="shared" si="4"/>
        <v>0.18333333333430346</v>
      </c>
    </row>
    <row r="275" spans="1:11" x14ac:dyDescent="0.25">
      <c r="A275" s="5">
        <v>45463.436111111114</v>
      </c>
      <c r="B275" s="3" t="s">
        <v>4</v>
      </c>
      <c r="C275" s="3">
        <v>10000006824</v>
      </c>
      <c r="D275" s="3" t="s">
        <v>104</v>
      </c>
      <c r="E275" s="3" t="s">
        <v>185</v>
      </c>
      <c r="F275" s="3" t="s">
        <v>6</v>
      </c>
      <c r="G275" s="3"/>
      <c r="H275" s="6" t="s">
        <v>42</v>
      </c>
      <c r="I275" s="6" t="s">
        <v>13</v>
      </c>
      <c r="J275" s="5">
        <v>45463.461805555555</v>
      </c>
      <c r="K275" s="7">
        <f t="shared" si="4"/>
        <v>2.569444444088731E-2</v>
      </c>
    </row>
    <row r="276" spans="1:11" x14ac:dyDescent="0.25">
      <c r="A276" s="5">
        <v>45463.606249999997</v>
      </c>
      <c r="B276" s="3" t="s">
        <v>4</v>
      </c>
      <c r="C276" s="3">
        <v>10000006824</v>
      </c>
      <c r="D276" s="3" t="s">
        <v>104</v>
      </c>
      <c r="E276" s="3" t="s">
        <v>185</v>
      </c>
      <c r="F276" s="3" t="s">
        <v>6</v>
      </c>
      <c r="G276" s="3"/>
      <c r="H276" s="6" t="s">
        <v>42</v>
      </c>
      <c r="I276" s="6" t="s">
        <v>13</v>
      </c>
      <c r="J276" s="5">
        <v>45463.631944444445</v>
      </c>
      <c r="K276" s="7">
        <f t="shared" si="4"/>
        <v>2.5694444448163267E-2</v>
      </c>
    </row>
    <row r="277" spans="1:11" x14ac:dyDescent="0.25">
      <c r="A277" s="5">
        <v>45464.088194444441</v>
      </c>
      <c r="B277" s="3" t="s">
        <v>4</v>
      </c>
      <c r="C277" s="3">
        <v>7823550001</v>
      </c>
      <c r="D277" s="3" t="s">
        <v>10</v>
      </c>
      <c r="E277" s="3" t="s">
        <v>102</v>
      </c>
      <c r="F277" s="3" t="s">
        <v>6</v>
      </c>
      <c r="G277" s="3"/>
      <c r="H277" s="6" t="s">
        <v>42</v>
      </c>
      <c r="I277" s="6" t="s">
        <v>13</v>
      </c>
      <c r="J277" s="5">
        <v>45464.094444444447</v>
      </c>
      <c r="K277" s="7">
        <f t="shared" si="4"/>
        <v>6.2500000058207661E-3</v>
      </c>
    </row>
    <row r="278" spans="1:11" x14ac:dyDescent="0.25">
      <c r="A278" s="5">
        <v>45464.088194444441</v>
      </c>
      <c r="B278" s="3" t="s">
        <v>4</v>
      </c>
      <c r="C278" s="3">
        <v>10000457640</v>
      </c>
      <c r="D278" s="3" t="s">
        <v>104</v>
      </c>
      <c r="E278" s="3" t="s">
        <v>242</v>
      </c>
      <c r="F278" s="3" t="s">
        <v>6</v>
      </c>
      <c r="G278" s="3"/>
      <c r="H278" s="6" t="s">
        <v>289</v>
      </c>
      <c r="I278" s="6" t="s">
        <v>14</v>
      </c>
      <c r="J278" s="5">
        <v>45464.09375</v>
      </c>
      <c r="K278" s="7">
        <f t="shared" si="4"/>
        <v>5.5555555591126904E-3</v>
      </c>
    </row>
    <row r="279" spans="1:11" x14ac:dyDescent="0.25">
      <c r="A279" s="5">
        <v>45464.089583333334</v>
      </c>
      <c r="B279" s="3" t="s">
        <v>4</v>
      </c>
      <c r="C279" s="3">
        <v>10000002079</v>
      </c>
      <c r="D279" s="3" t="s">
        <v>10</v>
      </c>
      <c r="E279" s="3" t="s">
        <v>16</v>
      </c>
      <c r="F279" s="3" t="s">
        <v>6</v>
      </c>
      <c r="G279" s="3"/>
      <c r="H279" s="6" t="s">
        <v>289</v>
      </c>
      <c r="I279" s="6" t="s">
        <v>14</v>
      </c>
      <c r="J279" s="5">
        <v>45464.093055555553</v>
      </c>
      <c r="K279" s="7">
        <f t="shared" si="4"/>
        <v>3.4722222189884633E-3</v>
      </c>
    </row>
    <row r="280" spans="1:11" x14ac:dyDescent="0.25">
      <c r="A280" s="5">
        <v>45464.159722222219</v>
      </c>
      <c r="B280" s="3" t="s">
        <v>290</v>
      </c>
      <c r="C280" s="3">
        <v>10000569816</v>
      </c>
      <c r="D280" s="3" t="s">
        <v>9</v>
      </c>
      <c r="E280" s="3" t="s">
        <v>179</v>
      </c>
      <c r="F280" s="3" t="s">
        <v>51</v>
      </c>
      <c r="G280" s="3"/>
      <c r="H280" s="6" t="s">
        <v>297</v>
      </c>
      <c r="I280" s="6" t="s">
        <v>13</v>
      </c>
      <c r="J280" s="5">
        <v>45464.498611111114</v>
      </c>
      <c r="K280" s="7">
        <f t="shared" si="4"/>
        <v>0.33888888889487134</v>
      </c>
    </row>
    <row r="281" spans="1:11" x14ac:dyDescent="0.25">
      <c r="A281" s="5">
        <v>45464.363194444442</v>
      </c>
      <c r="B281" s="3" t="s">
        <v>4</v>
      </c>
      <c r="C281" s="3">
        <v>7823550001</v>
      </c>
      <c r="D281" s="3" t="s">
        <v>10</v>
      </c>
      <c r="E281" s="3" t="s">
        <v>102</v>
      </c>
      <c r="F281" s="3" t="s">
        <v>6</v>
      </c>
      <c r="G281" s="3"/>
      <c r="H281" s="6" t="s">
        <v>42</v>
      </c>
      <c r="I281" s="6" t="s">
        <v>13</v>
      </c>
      <c r="J281" s="5">
        <v>45464.445138888892</v>
      </c>
      <c r="K281" s="7">
        <f t="shared" si="4"/>
        <v>8.1944444449618459E-2</v>
      </c>
    </row>
    <row r="282" spans="1:11" x14ac:dyDescent="0.25">
      <c r="A282" s="5">
        <v>45464.527777777781</v>
      </c>
      <c r="B282" s="3" t="s">
        <v>4</v>
      </c>
      <c r="C282" s="3">
        <v>10000024475</v>
      </c>
      <c r="D282" s="3" t="s">
        <v>10</v>
      </c>
      <c r="E282" s="3" t="s">
        <v>23</v>
      </c>
      <c r="F282" s="3" t="s">
        <v>6</v>
      </c>
      <c r="G282" s="3"/>
      <c r="H282" s="6" t="s">
        <v>42</v>
      </c>
      <c r="I282" s="6" t="s">
        <v>13</v>
      </c>
      <c r="J282" s="5">
        <v>45464.536805555559</v>
      </c>
      <c r="K282" s="7">
        <f t="shared" si="4"/>
        <v>9.0277777781011537E-3</v>
      </c>
    </row>
    <row r="283" spans="1:11" x14ac:dyDescent="0.25">
      <c r="A283" s="5">
        <v>45464.798611111109</v>
      </c>
      <c r="B283" s="3" t="s">
        <v>291</v>
      </c>
      <c r="C283" s="3">
        <v>7808270001</v>
      </c>
      <c r="D283" s="3" t="s">
        <v>9</v>
      </c>
      <c r="E283" s="3" t="s">
        <v>37</v>
      </c>
      <c r="F283" s="3" t="s">
        <v>6</v>
      </c>
      <c r="G283" s="3"/>
      <c r="H283" s="6" t="s">
        <v>292</v>
      </c>
      <c r="I283" s="6" t="s">
        <v>14</v>
      </c>
      <c r="J283" s="5">
        <v>45464.868750000001</v>
      </c>
      <c r="K283" s="7">
        <f t="shared" si="4"/>
        <v>7.013888889196096E-2</v>
      </c>
    </row>
    <row r="284" spans="1:11" x14ac:dyDescent="0.25">
      <c r="A284" s="5">
        <v>45465.039583333331</v>
      </c>
      <c r="B284" s="3" t="s">
        <v>4</v>
      </c>
      <c r="C284" s="3">
        <v>7823550001</v>
      </c>
      <c r="D284" s="3" t="s">
        <v>10</v>
      </c>
      <c r="E284" s="3" t="s">
        <v>102</v>
      </c>
      <c r="F284" s="3" t="s">
        <v>6</v>
      </c>
      <c r="G284" s="3"/>
      <c r="H284" s="6" t="s">
        <v>42</v>
      </c>
      <c r="I284" s="6" t="s">
        <v>13</v>
      </c>
      <c r="J284" s="5">
        <v>45465.285416666666</v>
      </c>
      <c r="K284" s="7">
        <f t="shared" si="4"/>
        <v>0.24583333333430346</v>
      </c>
    </row>
    <row r="285" spans="1:11" x14ac:dyDescent="0.25">
      <c r="A285" s="5">
        <v>45465.177777777775</v>
      </c>
      <c r="B285" s="3" t="s">
        <v>4</v>
      </c>
      <c r="C285" s="3">
        <v>10000514345</v>
      </c>
      <c r="D285" s="3" t="s">
        <v>9</v>
      </c>
      <c r="E285" s="3" t="s">
        <v>11</v>
      </c>
      <c r="F285" s="3" t="s">
        <v>6</v>
      </c>
      <c r="G285" s="3"/>
      <c r="H285" s="6" t="s">
        <v>42</v>
      </c>
      <c r="I285" s="6" t="s">
        <v>13</v>
      </c>
      <c r="J285" s="5">
        <v>45465.179861111108</v>
      </c>
      <c r="K285" s="7">
        <f t="shared" si="4"/>
        <v>2.0833333328482695E-3</v>
      </c>
    </row>
    <row r="286" spans="1:11" x14ac:dyDescent="0.25">
      <c r="A286" s="5">
        <v>45465.188194444447</v>
      </c>
      <c r="B286" s="3" t="s">
        <v>4</v>
      </c>
      <c r="C286" s="3">
        <v>10000514345</v>
      </c>
      <c r="D286" s="3" t="s">
        <v>9</v>
      </c>
      <c r="E286" s="3" t="s">
        <v>11</v>
      </c>
      <c r="F286" s="3" t="s">
        <v>6</v>
      </c>
      <c r="G286" s="3"/>
      <c r="H286" s="6" t="s">
        <v>42</v>
      </c>
      <c r="I286" s="6" t="s">
        <v>13</v>
      </c>
      <c r="J286" s="5">
        <v>45466.551388888889</v>
      </c>
      <c r="K286" s="7">
        <f t="shared" si="4"/>
        <v>1.3631944444423425</v>
      </c>
    </row>
    <row r="287" spans="1:11" x14ac:dyDescent="0.25">
      <c r="A287" s="5">
        <v>45465.188194444447</v>
      </c>
      <c r="B287" s="3" t="s">
        <v>4</v>
      </c>
      <c r="C287" s="3">
        <v>10000569584</v>
      </c>
      <c r="D287" s="3" t="s">
        <v>10</v>
      </c>
      <c r="E287" s="3" t="s">
        <v>95</v>
      </c>
      <c r="F287" s="3" t="s">
        <v>51</v>
      </c>
      <c r="G287" s="3"/>
      <c r="H287" s="6" t="s">
        <v>293</v>
      </c>
      <c r="I287" s="6" t="s">
        <v>13</v>
      </c>
      <c r="J287" s="5">
        <v>45465.333333333336</v>
      </c>
      <c r="K287" s="7">
        <f t="shared" si="4"/>
        <v>0.14513888888905058</v>
      </c>
    </row>
    <row r="288" spans="1:11" x14ac:dyDescent="0.25">
      <c r="A288" s="5">
        <v>45466.628472222219</v>
      </c>
      <c r="B288" s="3" t="s">
        <v>294</v>
      </c>
      <c r="C288" s="3">
        <v>10000581459</v>
      </c>
      <c r="D288" s="3" t="s">
        <v>9</v>
      </c>
      <c r="E288" s="3" t="s">
        <v>120</v>
      </c>
      <c r="F288" s="3" t="s">
        <v>51</v>
      </c>
      <c r="G288" s="3"/>
      <c r="H288" s="6" t="s">
        <v>293</v>
      </c>
      <c r="I288" s="6" t="s">
        <v>13</v>
      </c>
      <c r="J288" s="5">
        <v>45466.63958333333</v>
      </c>
      <c r="K288" s="7">
        <f t="shared" si="4"/>
        <v>1.1111111110949423E-2</v>
      </c>
    </row>
    <row r="289" spans="1:11" ht="30" x14ac:dyDescent="0.25">
      <c r="A289" s="5">
        <v>45466.945138888892</v>
      </c>
      <c r="B289" s="3" t="s">
        <v>4</v>
      </c>
      <c r="C289" s="3">
        <v>10000058627</v>
      </c>
      <c r="D289" s="3" t="s">
        <v>9</v>
      </c>
      <c r="E289" s="3" t="s">
        <v>160</v>
      </c>
      <c r="F289" s="3" t="s">
        <v>6</v>
      </c>
      <c r="G289" s="3"/>
      <c r="H289" s="6" t="s">
        <v>295</v>
      </c>
      <c r="I289" s="6" t="s">
        <v>14</v>
      </c>
      <c r="J289" s="5">
        <v>45466.947222222225</v>
      </c>
      <c r="K289" s="7">
        <f t="shared" si="4"/>
        <v>2.0833333328482695E-3</v>
      </c>
    </row>
    <row r="290" spans="1:11" ht="30" x14ac:dyDescent="0.25">
      <c r="A290" s="5">
        <v>45466.945833333331</v>
      </c>
      <c r="B290" s="3" t="s">
        <v>296</v>
      </c>
      <c r="C290" s="3">
        <v>7853300001</v>
      </c>
      <c r="D290" s="3" t="s">
        <v>9</v>
      </c>
      <c r="E290" s="3" t="s">
        <v>19</v>
      </c>
      <c r="F290" s="3" t="s">
        <v>6</v>
      </c>
      <c r="G290" s="3"/>
      <c r="H290" s="6" t="s">
        <v>295</v>
      </c>
      <c r="I290" s="6" t="s">
        <v>14</v>
      </c>
      <c r="J290" s="5">
        <v>45467.370833333334</v>
      </c>
      <c r="K290" s="7">
        <f t="shared" si="4"/>
        <v>0.42500000000291038</v>
      </c>
    </row>
    <row r="291" spans="1:11" ht="30" x14ac:dyDescent="0.25">
      <c r="A291" s="5">
        <v>45466.95208333333</v>
      </c>
      <c r="B291" s="3" t="s">
        <v>4</v>
      </c>
      <c r="C291" s="3">
        <v>10000058627</v>
      </c>
      <c r="D291" s="3" t="s">
        <v>9</v>
      </c>
      <c r="E291" s="3" t="s">
        <v>160</v>
      </c>
      <c r="F291" s="3" t="s">
        <v>6</v>
      </c>
      <c r="G291" s="3"/>
      <c r="H291" s="6" t="s">
        <v>295</v>
      </c>
      <c r="I291" s="6" t="s">
        <v>14</v>
      </c>
      <c r="J291" s="5">
        <v>45467.370833333334</v>
      </c>
      <c r="K291" s="7">
        <f t="shared" si="4"/>
        <v>0.41875000000436557</v>
      </c>
    </row>
    <row r="292" spans="1:11" x14ac:dyDescent="0.25">
      <c r="A292" s="5">
        <v>45467.395833333336</v>
      </c>
      <c r="B292" s="3" t="s">
        <v>4</v>
      </c>
      <c r="C292" s="3">
        <v>7808270001</v>
      </c>
      <c r="D292" s="3" t="s">
        <v>9</v>
      </c>
      <c r="E292" s="3" t="s">
        <v>37</v>
      </c>
      <c r="F292" s="3" t="s">
        <v>6</v>
      </c>
      <c r="G292" s="3"/>
      <c r="H292" s="6" t="s">
        <v>42</v>
      </c>
      <c r="I292" s="6" t="s">
        <v>13</v>
      </c>
      <c r="J292" s="5">
        <v>45467.404861111114</v>
      </c>
      <c r="K292" s="7">
        <f t="shared" si="4"/>
        <v>9.0277777781011537E-3</v>
      </c>
    </row>
    <row r="293" spans="1:11" x14ac:dyDescent="0.25">
      <c r="A293" s="5">
        <v>45467.424305555556</v>
      </c>
      <c r="B293" s="3" t="s">
        <v>4</v>
      </c>
      <c r="C293" s="3">
        <v>7808270001</v>
      </c>
      <c r="D293" s="3" t="s">
        <v>9</v>
      </c>
      <c r="E293" s="3" t="s">
        <v>37</v>
      </c>
      <c r="F293" s="3" t="s">
        <v>6</v>
      </c>
      <c r="G293" s="3"/>
      <c r="H293" s="6" t="s">
        <v>42</v>
      </c>
      <c r="I293" s="6" t="s">
        <v>13</v>
      </c>
      <c r="J293" s="5">
        <v>45467.427777777775</v>
      </c>
      <c r="K293" s="7">
        <f t="shared" si="4"/>
        <v>3.4722222189884633E-3</v>
      </c>
    </row>
    <row r="294" spans="1:11" x14ac:dyDescent="0.25">
      <c r="A294" s="5">
        <v>45467.451388888891</v>
      </c>
      <c r="B294" s="3" t="s">
        <v>4</v>
      </c>
      <c r="C294" s="3">
        <v>7808270001</v>
      </c>
      <c r="D294" s="3" t="s">
        <v>9</v>
      </c>
      <c r="E294" s="3" t="s">
        <v>37</v>
      </c>
      <c r="F294" s="3" t="s">
        <v>6</v>
      </c>
      <c r="G294" s="3"/>
      <c r="H294" s="6" t="s">
        <v>42</v>
      </c>
      <c r="I294" s="6" t="s">
        <v>13</v>
      </c>
      <c r="J294" s="5">
        <v>45467.45208333333</v>
      </c>
      <c r="K294" s="7">
        <f t="shared" si="4"/>
        <v>6.9444443943211809E-4</v>
      </c>
    </row>
    <row r="295" spans="1:11" x14ac:dyDescent="0.25">
      <c r="A295" s="5">
        <v>45467.681250000001</v>
      </c>
      <c r="B295" s="3" t="s">
        <v>4</v>
      </c>
      <c r="C295" s="3">
        <v>10000058627</v>
      </c>
      <c r="D295" s="3" t="s">
        <v>9</v>
      </c>
      <c r="E295" s="3" t="s">
        <v>160</v>
      </c>
      <c r="F295" s="3" t="s">
        <v>6</v>
      </c>
      <c r="G295" s="3"/>
      <c r="H295" s="6" t="s">
        <v>298</v>
      </c>
      <c r="I295" s="6" t="s">
        <v>14</v>
      </c>
      <c r="J295" s="5">
        <v>45467.686111111114</v>
      </c>
      <c r="K295" s="7">
        <f t="shared" si="4"/>
        <v>4.8611111124046147E-3</v>
      </c>
    </row>
    <row r="296" spans="1:11" x14ac:dyDescent="0.25">
      <c r="A296" s="5">
        <v>45467.681250000001</v>
      </c>
      <c r="B296" s="3" t="s">
        <v>4</v>
      </c>
      <c r="C296" s="3">
        <v>7853300001</v>
      </c>
      <c r="D296" s="3" t="s">
        <v>9</v>
      </c>
      <c r="E296" s="3" t="s">
        <v>19</v>
      </c>
      <c r="F296" s="3" t="s">
        <v>6</v>
      </c>
      <c r="G296" s="3"/>
      <c r="H296" s="6" t="s">
        <v>298</v>
      </c>
      <c r="I296" s="6" t="s">
        <v>14</v>
      </c>
      <c r="J296" s="5">
        <v>45467.684027777781</v>
      </c>
      <c r="K296" s="7">
        <f t="shared" si="4"/>
        <v>2.7777777795563452E-3</v>
      </c>
    </row>
    <row r="297" spans="1:11" x14ac:dyDescent="0.25">
      <c r="A297" s="5">
        <v>45468.094444444447</v>
      </c>
      <c r="B297" s="3" t="s">
        <v>4</v>
      </c>
      <c r="C297" s="3">
        <v>10000000824</v>
      </c>
      <c r="D297" s="3" t="s">
        <v>9</v>
      </c>
      <c r="E297" s="3" t="s">
        <v>149</v>
      </c>
      <c r="F297" s="3" t="s">
        <v>6</v>
      </c>
      <c r="G297" s="3"/>
      <c r="H297" s="6" t="s">
        <v>299</v>
      </c>
      <c r="I297" s="6" t="s">
        <v>14</v>
      </c>
      <c r="J297" s="5">
        <v>45468.10833333333</v>
      </c>
      <c r="K297" s="7">
        <f t="shared" si="4"/>
        <v>1.3888888883229811E-2</v>
      </c>
    </row>
    <row r="298" spans="1:11" x14ac:dyDescent="0.25">
      <c r="A298" s="5">
        <v>45469.538194444445</v>
      </c>
      <c r="B298" s="3" t="s">
        <v>300</v>
      </c>
      <c r="C298" s="3">
        <v>10000000824</v>
      </c>
      <c r="D298" s="3" t="s">
        <v>9</v>
      </c>
      <c r="E298" s="3" t="s">
        <v>149</v>
      </c>
      <c r="F298" s="3" t="s">
        <v>6</v>
      </c>
      <c r="G298" s="3"/>
      <c r="H298" s="6" t="s">
        <v>301</v>
      </c>
      <c r="I298" s="6" t="s">
        <v>14</v>
      </c>
      <c r="J298" s="5">
        <v>45469.57916666667</v>
      </c>
      <c r="K298" s="7">
        <f t="shared" si="4"/>
        <v>4.0972222224809229E-2</v>
      </c>
    </row>
    <row r="299" spans="1:11" x14ac:dyDescent="0.25">
      <c r="A299" s="5">
        <v>45469.599999999999</v>
      </c>
      <c r="B299" s="3" t="s">
        <v>303</v>
      </c>
      <c r="C299" s="3">
        <v>10000058617</v>
      </c>
      <c r="D299" s="3" t="s">
        <v>10</v>
      </c>
      <c r="E299" s="3" t="s">
        <v>32</v>
      </c>
      <c r="F299" s="3" t="s">
        <v>6</v>
      </c>
      <c r="G299" s="3"/>
      <c r="H299" s="6" t="s">
        <v>304</v>
      </c>
      <c r="I299" s="6" t="s">
        <v>14</v>
      </c>
      <c r="J299" s="5">
        <v>45469.646527777775</v>
      </c>
      <c r="K299" s="7">
        <f t="shared" si="4"/>
        <v>4.6527777776645962E-2</v>
      </c>
    </row>
    <row r="300" spans="1:11" ht="30" x14ac:dyDescent="0.25">
      <c r="A300" s="5">
        <v>45469.624305555553</v>
      </c>
      <c r="B300" s="3" t="s">
        <v>302</v>
      </c>
      <c r="C300" s="3">
        <v>10000581483</v>
      </c>
      <c r="D300" s="3" t="s">
        <v>9</v>
      </c>
      <c r="E300" s="3" t="s">
        <v>149</v>
      </c>
      <c r="F300" s="3" t="s">
        <v>51</v>
      </c>
      <c r="G300" s="3"/>
      <c r="H300" s="6" t="s">
        <v>305</v>
      </c>
      <c r="I300" s="6" t="s">
        <v>14</v>
      </c>
      <c r="J300" s="5">
        <v>45470.500694444447</v>
      </c>
      <c r="K300" s="7">
        <f t="shared" si="4"/>
        <v>0.87638888889341615</v>
      </c>
    </row>
    <row r="301" spans="1:11" ht="30" x14ac:dyDescent="0.25">
      <c r="A301" s="5">
        <v>45470.529861111114</v>
      </c>
      <c r="B301" s="3" t="s">
        <v>306</v>
      </c>
      <c r="C301" s="3">
        <v>10000581483</v>
      </c>
      <c r="D301" s="3" t="s">
        <v>9</v>
      </c>
      <c r="E301" s="3" t="s">
        <v>149</v>
      </c>
      <c r="F301" s="3" t="s">
        <v>51</v>
      </c>
      <c r="G301" s="3"/>
      <c r="H301" s="6" t="s">
        <v>307</v>
      </c>
      <c r="I301" s="6" t="s">
        <v>14</v>
      </c>
      <c r="J301" s="5">
        <v>45471.53125</v>
      </c>
      <c r="K301" s="7">
        <f t="shared" si="4"/>
        <v>1.0013888888861402</v>
      </c>
    </row>
    <row r="302" spans="1:11" ht="30" x14ac:dyDescent="0.25">
      <c r="A302" s="5">
        <v>45471.037499999999</v>
      </c>
      <c r="B302" s="3" t="s">
        <v>4</v>
      </c>
      <c r="C302" s="3">
        <v>7810510001</v>
      </c>
      <c r="D302" s="3" t="s">
        <v>311</v>
      </c>
      <c r="E302" s="3" t="s">
        <v>70</v>
      </c>
      <c r="F302" s="3" t="s">
        <v>6</v>
      </c>
      <c r="G302" s="3"/>
      <c r="H302" s="6" t="s">
        <v>308</v>
      </c>
      <c r="I302" s="6" t="s">
        <v>14</v>
      </c>
      <c r="J302" s="5">
        <v>45471.097916666666</v>
      </c>
      <c r="K302" s="7">
        <f t="shared" si="4"/>
        <v>6.0416666667151731E-2</v>
      </c>
    </row>
    <row r="303" spans="1:11" x14ac:dyDescent="0.25">
      <c r="A303" s="5">
        <v>45471.322916666664</v>
      </c>
      <c r="B303" s="3" t="s">
        <v>309</v>
      </c>
      <c r="C303" s="3">
        <v>10000000853</v>
      </c>
      <c r="D303" s="3" t="s">
        <v>9</v>
      </c>
      <c r="E303" s="3" t="s">
        <v>62</v>
      </c>
      <c r="F303" s="3" t="s">
        <v>6</v>
      </c>
      <c r="G303" s="3"/>
      <c r="H303" s="6" t="s">
        <v>310</v>
      </c>
      <c r="I303" s="6" t="s">
        <v>14</v>
      </c>
      <c r="J303" s="5">
        <v>45471.397222222222</v>
      </c>
      <c r="K303" s="7">
        <f t="shared" si="4"/>
        <v>7.4305555557657499E-2</v>
      </c>
    </row>
    <row r="304" spans="1:11" x14ac:dyDescent="0.25">
      <c r="A304" s="5">
        <v>45471.410416666666</v>
      </c>
      <c r="B304" s="3" t="s">
        <v>4</v>
      </c>
      <c r="C304" s="3">
        <v>7808270001</v>
      </c>
      <c r="D304" s="3" t="s">
        <v>9</v>
      </c>
      <c r="E304" s="3" t="s">
        <v>37</v>
      </c>
      <c r="F304" s="3" t="s">
        <v>6</v>
      </c>
      <c r="G304" s="3"/>
      <c r="H304" s="6" t="s">
        <v>42</v>
      </c>
      <c r="I304" s="6" t="s">
        <v>13</v>
      </c>
      <c r="J304" s="5">
        <v>45471.456944444442</v>
      </c>
      <c r="K304" s="7">
        <f t="shared" si="4"/>
        <v>4.6527777776645962E-2</v>
      </c>
    </row>
    <row r="305" spans="1:11" x14ac:dyDescent="0.25">
      <c r="A305" s="5">
        <v>45471.453472222223</v>
      </c>
      <c r="B305" s="3" t="s">
        <v>312</v>
      </c>
      <c r="C305" s="3">
        <v>10000006824</v>
      </c>
      <c r="D305" s="3" t="s">
        <v>104</v>
      </c>
      <c r="E305" s="3" t="s">
        <v>185</v>
      </c>
      <c r="F305" s="3" t="s">
        <v>6</v>
      </c>
      <c r="G305" s="3"/>
      <c r="H305" s="6" t="s">
        <v>313</v>
      </c>
      <c r="I305" s="6" t="s">
        <v>14</v>
      </c>
      <c r="J305" s="5">
        <v>45471.518750000003</v>
      </c>
      <c r="K305" s="7">
        <f t="shared" si="4"/>
        <v>6.5277777779556345E-2</v>
      </c>
    </row>
    <row r="306" spans="1:11" x14ac:dyDescent="0.25">
      <c r="A306" s="5">
        <v>45471.457638888889</v>
      </c>
      <c r="B306" s="3" t="s">
        <v>314</v>
      </c>
      <c r="C306" s="3">
        <v>10000379551</v>
      </c>
      <c r="D306" s="3" t="s">
        <v>10</v>
      </c>
      <c r="E306" s="3" t="s">
        <v>56</v>
      </c>
      <c r="F306" s="3" t="s">
        <v>6</v>
      </c>
      <c r="G306" s="3"/>
      <c r="H306" s="6" t="s">
        <v>315</v>
      </c>
      <c r="I306" s="6" t="s">
        <v>14</v>
      </c>
      <c r="J306" s="5">
        <v>45471.518750000003</v>
      </c>
      <c r="K306" s="7">
        <f t="shared" si="4"/>
        <v>6.1111111113859806E-2</v>
      </c>
    </row>
    <row r="307" spans="1:11" x14ac:dyDescent="0.25">
      <c r="A307" s="5">
        <v>45471.561111111114</v>
      </c>
      <c r="B307" s="3" t="s">
        <v>4</v>
      </c>
      <c r="C307" s="3">
        <v>10000450331</v>
      </c>
      <c r="D307" s="3" t="s">
        <v>9</v>
      </c>
      <c r="E307" s="3" t="s">
        <v>217</v>
      </c>
      <c r="F307" s="3" t="s">
        <v>6</v>
      </c>
      <c r="G307" s="3"/>
      <c r="H307" s="6" t="s">
        <v>316</v>
      </c>
      <c r="I307" s="6" t="s">
        <v>13</v>
      </c>
      <c r="J307" s="5">
        <v>45471.662499999999</v>
      </c>
      <c r="K307" s="7">
        <f t="shared" si="4"/>
        <v>0.101388888884685</v>
      </c>
    </row>
    <row r="308" spans="1:11" x14ac:dyDescent="0.25">
      <c r="A308" s="5">
        <v>45471.636111111111</v>
      </c>
      <c r="B308" s="3" t="s">
        <v>317</v>
      </c>
      <c r="C308" s="3">
        <v>10000581480</v>
      </c>
      <c r="D308" s="3" t="s">
        <v>9</v>
      </c>
      <c r="E308" s="3" t="s">
        <v>318</v>
      </c>
      <c r="F308" s="3" t="s">
        <v>6</v>
      </c>
      <c r="G308" s="3"/>
      <c r="H308" s="6" t="s">
        <v>319</v>
      </c>
      <c r="I308" s="6" t="s">
        <v>14</v>
      </c>
      <c r="J308" s="5">
        <v>45474.693055555559</v>
      </c>
      <c r="K308" s="7">
        <f t="shared" si="4"/>
        <v>3.0569444444481633</v>
      </c>
    </row>
    <row r="309" spans="1:11" x14ac:dyDescent="0.25">
      <c r="A309" s="5">
        <v>45471.772222222222</v>
      </c>
      <c r="B309" s="3" t="s">
        <v>4</v>
      </c>
      <c r="C309" s="3">
        <v>7810530001</v>
      </c>
      <c r="D309" s="3" t="s">
        <v>9</v>
      </c>
      <c r="E309" s="3" t="s">
        <v>26</v>
      </c>
      <c r="F309" s="3" t="s">
        <v>6</v>
      </c>
      <c r="G309" s="3"/>
      <c r="H309" s="6" t="s">
        <v>320</v>
      </c>
      <c r="I309" s="6" t="s">
        <v>14</v>
      </c>
      <c r="J309" s="5">
        <v>45471.840277777781</v>
      </c>
      <c r="K309" s="7">
        <f t="shared" si="4"/>
        <v>6.805555555911269E-2</v>
      </c>
    </row>
    <row r="310" spans="1:11" ht="30" x14ac:dyDescent="0.25">
      <c r="A310" s="5">
        <v>45472.022916666669</v>
      </c>
      <c r="B310" s="3" t="s">
        <v>4</v>
      </c>
      <c r="C310" s="3">
        <v>7810510001</v>
      </c>
      <c r="D310" s="3" t="s">
        <v>9</v>
      </c>
      <c r="E310" s="3" t="s">
        <v>70</v>
      </c>
      <c r="F310" s="3" t="s">
        <v>6</v>
      </c>
      <c r="G310" s="3"/>
      <c r="H310" s="6" t="s">
        <v>308</v>
      </c>
      <c r="I310" s="6" t="s">
        <v>14</v>
      </c>
      <c r="J310" s="5">
        <v>45472.070138888892</v>
      </c>
      <c r="K310" s="7">
        <f t="shared" si="4"/>
        <v>4.7222222223354038E-2</v>
      </c>
    </row>
    <row r="311" spans="1:11" x14ac:dyDescent="0.25">
      <c r="A311" s="5">
        <v>45472.04791666667</v>
      </c>
      <c r="B311" s="3" t="s">
        <v>4</v>
      </c>
      <c r="C311" s="3">
        <v>10000000853</v>
      </c>
      <c r="D311" s="3" t="s">
        <v>9</v>
      </c>
      <c r="E311" s="3" t="s">
        <v>62</v>
      </c>
      <c r="F311" s="3" t="s">
        <v>6</v>
      </c>
      <c r="G311" s="3"/>
      <c r="H311" s="6" t="s">
        <v>321</v>
      </c>
      <c r="I311" s="6" t="s">
        <v>14</v>
      </c>
      <c r="J311" s="5">
        <v>45472.171527777777</v>
      </c>
      <c r="K311" s="7">
        <f t="shared" si="4"/>
        <v>0.12361111110658385</v>
      </c>
    </row>
    <row r="312" spans="1:11" x14ac:dyDescent="0.25">
      <c r="A312" s="5">
        <v>45472.409722222219</v>
      </c>
      <c r="B312" s="3" t="s">
        <v>4</v>
      </c>
      <c r="C312" s="3">
        <v>7808270001</v>
      </c>
      <c r="D312" s="3" t="s">
        <v>9</v>
      </c>
      <c r="E312" s="3" t="s">
        <v>37</v>
      </c>
      <c r="F312" s="3" t="s">
        <v>6</v>
      </c>
      <c r="G312" s="3"/>
      <c r="H312" s="6" t="s">
        <v>42</v>
      </c>
      <c r="I312" s="6" t="s">
        <v>13</v>
      </c>
      <c r="J312" s="5">
        <v>45472.486805555556</v>
      </c>
      <c r="K312" s="7">
        <f t="shared" si="4"/>
        <v>7.7083333337213844E-2</v>
      </c>
    </row>
    <row r="313" spans="1:11" x14ac:dyDescent="0.25">
      <c r="A313" s="5">
        <v>45472.712500000001</v>
      </c>
      <c r="B313" s="3" t="s">
        <v>4</v>
      </c>
      <c r="C313" s="3">
        <v>7808270001</v>
      </c>
      <c r="D313" s="3" t="s">
        <v>9</v>
      </c>
      <c r="E313" s="3" t="s">
        <v>37</v>
      </c>
      <c r="F313" s="3" t="s">
        <v>6</v>
      </c>
      <c r="G313" s="3"/>
      <c r="H313" s="6" t="s">
        <v>42</v>
      </c>
      <c r="I313" s="6" t="s">
        <v>13</v>
      </c>
      <c r="J313" s="5">
        <v>45472.713888888888</v>
      </c>
      <c r="K313" s="7">
        <f t="shared" si="4"/>
        <v>1.3888888861401938E-3</v>
      </c>
    </row>
    <row r="314" spans="1:11" x14ac:dyDescent="0.25">
      <c r="A314" s="5">
        <v>45473.556944444441</v>
      </c>
      <c r="B314" s="3" t="s">
        <v>4</v>
      </c>
      <c r="C314" s="3">
        <v>10000379897</v>
      </c>
      <c r="D314" s="3" t="s">
        <v>10</v>
      </c>
      <c r="E314" s="3" t="s">
        <v>122</v>
      </c>
      <c r="F314" s="3" t="s">
        <v>6</v>
      </c>
      <c r="G314" s="3"/>
      <c r="H314" s="6" t="s">
        <v>42</v>
      </c>
      <c r="I314" s="6" t="s">
        <v>13</v>
      </c>
      <c r="J314" s="5">
        <v>45473.707638888889</v>
      </c>
      <c r="K314" s="7">
        <f t="shared" si="4"/>
        <v>0.15069444444816327</v>
      </c>
    </row>
    <row r="315" spans="1:11" x14ac:dyDescent="0.25">
      <c r="A315" s="5">
        <v>45474.410416666666</v>
      </c>
      <c r="B315" s="3" t="s">
        <v>4</v>
      </c>
      <c r="C315" s="3">
        <v>10000009996</v>
      </c>
      <c r="D315" s="3" t="s">
        <v>9</v>
      </c>
      <c r="E315" s="3" t="s">
        <v>92</v>
      </c>
      <c r="F315" s="3" t="s">
        <v>6</v>
      </c>
      <c r="G315" s="3"/>
      <c r="H315" s="6" t="s">
        <v>42</v>
      </c>
      <c r="I315" s="6" t="s">
        <v>13</v>
      </c>
      <c r="J315" s="5">
        <v>45474.412499999999</v>
      </c>
      <c r="K315" s="7">
        <f t="shared" si="4"/>
        <v>2.0833333328482695E-3</v>
      </c>
    </row>
    <row r="316" spans="1:11" x14ac:dyDescent="0.25">
      <c r="A316" s="5">
        <v>45475.191666666666</v>
      </c>
      <c r="B316" s="3" t="s">
        <v>322</v>
      </c>
      <c r="C316" s="3">
        <v>10000591459</v>
      </c>
      <c r="D316" s="3" t="s">
        <v>9</v>
      </c>
      <c r="E316" s="3" t="s">
        <v>120</v>
      </c>
      <c r="F316" s="3" t="s">
        <v>51</v>
      </c>
      <c r="G316" s="3"/>
      <c r="H316" s="6" t="s">
        <v>323</v>
      </c>
      <c r="I316" s="6" t="s">
        <v>13</v>
      </c>
      <c r="J316" s="5">
        <v>45475.231249999997</v>
      </c>
      <c r="K316" s="7">
        <f t="shared" si="4"/>
        <v>3.9583333331393078E-2</v>
      </c>
    </row>
    <row r="317" spans="1:11" x14ac:dyDescent="0.25">
      <c r="A317" s="5">
        <v>45475.520138888889</v>
      </c>
      <c r="B317" s="3" t="s">
        <v>324</v>
      </c>
      <c r="C317" s="3">
        <v>10000581483</v>
      </c>
      <c r="D317" s="3" t="s">
        <v>9</v>
      </c>
      <c r="E317" s="3" t="s">
        <v>149</v>
      </c>
      <c r="F317" s="3" t="s">
        <v>327</v>
      </c>
      <c r="G317" s="3"/>
      <c r="H317" s="6" t="s">
        <v>344</v>
      </c>
      <c r="I317" s="6" t="s">
        <v>14</v>
      </c>
      <c r="J317" s="5">
        <v>45482.685416666667</v>
      </c>
      <c r="K317" s="7">
        <f t="shared" si="4"/>
        <v>7.1652777777781012</v>
      </c>
    </row>
    <row r="318" spans="1:11" x14ac:dyDescent="0.25">
      <c r="A318" s="5">
        <v>45476.558333333334</v>
      </c>
      <c r="B318" s="3" t="s">
        <v>325</v>
      </c>
      <c r="C318" s="3">
        <v>10000000853</v>
      </c>
      <c r="D318" s="3" t="s">
        <v>9</v>
      </c>
      <c r="E318" s="3" t="s">
        <v>62</v>
      </c>
      <c r="F318" s="3" t="s">
        <v>38</v>
      </c>
      <c r="G318" s="3"/>
      <c r="H318" s="6" t="s">
        <v>326</v>
      </c>
      <c r="I318" s="6" t="s">
        <v>14</v>
      </c>
      <c r="J318" s="5">
        <v>45476.895833333336</v>
      </c>
      <c r="K318" s="7">
        <f t="shared" si="4"/>
        <v>0.33750000000145519</v>
      </c>
    </row>
    <row r="319" spans="1:11" x14ac:dyDescent="0.25">
      <c r="A319" s="5">
        <v>45478.09652777778</v>
      </c>
      <c r="B319" s="3" t="s">
        <v>4</v>
      </c>
      <c r="C319" s="3">
        <v>10000022240</v>
      </c>
      <c r="D319" s="3" t="s">
        <v>9</v>
      </c>
      <c r="E319" s="3" t="s">
        <v>263</v>
      </c>
      <c r="F319" s="3" t="s">
        <v>6</v>
      </c>
      <c r="G319" s="3"/>
      <c r="H319" s="6" t="s">
        <v>328</v>
      </c>
      <c r="I319" s="6" t="s">
        <v>14</v>
      </c>
      <c r="J319" s="5">
        <v>45478.102083333331</v>
      </c>
      <c r="K319" s="7">
        <f t="shared" si="4"/>
        <v>5.5555555518367328E-3</v>
      </c>
    </row>
    <row r="320" spans="1:11" x14ac:dyDescent="0.25">
      <c r="A320" s="5">
        <v>45478.09652777778</v>
      </c>
      <c r="B320" s="3" t="s">
        <v>4</v>
      </c>
      <c r="C320" s="3">
        <v>10000058781</v>
      </c>
      <c r="D320" s="3" t="s">
        <v>9</v>
      </c>
      <c r="E320" s="3" t="s">
        <v>247</v>
      </c>
      <c r="F320" s="3" t="s">
        <v>6</v>
      </c>
      <c r="G320" s="3"/>
      <c r="H320" s="6" t="s">
        <v>328</v>
      </c>
      <c r="I320" s="6" t="s">
        <v>14</v>
      </c>
      <c r="J320" s="5">
        <v>45478.102083333331</v>
      </c>
      <c r="K320" s="7">
        <f t="shared" si="4"/>
        <v>5.5555555518367328E-3</v>
      </c>
    </row>
    <row r="321" spans="1:11" x14ac:dyDescent="0.25">
      <c r="A321" s="5">
        <v>45478.09652777778</v>
      </c>
      <c r="B321" s="3" t="s">
        <v>4</v>
      </c>
      <c r="C321" s="3">
        <v>6963530001</v>
      </c>
      <c r="D321" s="3" t="s">
        <v>9</v>
      </c>
      <c r="E321" s="3" t="s">
        <v>67</v>
      </c>
      <c r="F321" s="3" t="s">
        <v>6</v>
      </c>
      <c r="G321" s="3"/>
      <c r="H321" s="6" t="s">
        <v>328</v>
      </c>
      <c r="I321" s="6" t="s">
        <v>14</v>
      </c>
      <c r="J321" s="5">
        <v>45478.104166666664</v>
      </c>
      <c r="K321" s="7">
        <f t="shared" si="4"/>
        <v>7.6388888846850023E-3</v>
      </c>
    </row>
    <row r="322" spans="1:11" x14ac:dyDescent="0.25">
      <c r="A322" s="5">
        <v>45478.09652777778</v>
      </c>
      <c r="B322" s="3" t="s">
        <v>4</v>
      </c>
      <c r="C322" s="3">
        <v>10000002550</v>
      </c>
      <c r="D322" s="3" t="s">
        <v>9</v>
      </c>
      <c r="E322" s="3" t="s">
        <v>264</v>
      </c>
      <c r="F322" s="3" t="s">
        <v>6</v>
      </c>
      <c r="G322" s="3"/>
      <c r="H322" s="6" t="s">
        <v>328</v>
      </c>
      <c r="I322" s="6" t="s">
        <v>14</v>
      </c>
      <c r="J322" s="5">
        <v>45478.102083333331</v>
      </c>
      <c r="K322" s="7">
        <f t="shared" si="4"/>
        <v>5.5555555518367328E-3</v>
      </c>
    </row>
    <row r="323" spans="1:11" x14ac:dyDescent="0.25">
      <c r="A323" s="5">
        <v>45478.097222222219</v>
      </c>
      <c r="B323" s="3" t="s">
        <v>329</v>
      </c>
      <c r="C323" s="3">
        <v>10000000853</v>
      </c>
      <c r="D323" s="3" t="s">
        <v>9</v>
      </c>
      <c r="E323" s="3" t="s">
        <v>62</v>
      </c>
      <c r="F323" s="3" t="s">
        <v>6</v>
      </c>
      <c r="G323" s="3"/>
      <c r="H323" s="6" t="s">
        <v>328</v>
      </c>
      <c r="I323" s="6" t="s">
        <v>14</v>
      </c>
      <c r="J323" s="5">
        <v>45478.102083333331</v>
      </c>
      <c r="K323" s="7">
        <f t="shared" si="4"/>
        <v>4.8611111124046147E-3</v>
      </c>
    </row>
    <row r="324" spans="1:11" x14ac:dyDescent="0.25">
      <c r="A324" s="5">
        <v>45478.097222222219</v>
      </c>
      <c r="B324" s="3" t="s">
        <v>4</v>
      </c>
      <c r="C324" s="3">
        <v>10000317748</v>
      </c>
      <c r="D324" s="3" t="s">
        <v>9</v>
      </c>
      <c r="E324" s="3" t="s">
        <v>265</v>
      </c>
      <c r="F324" s="3" t="s">
        <v>6</v>
      </c>
      <c r="G324" s="3"/>
      <c r="H324" s="6" t="s">
        <v>328</v>
      </c>
      <c r="I324" s="6" t="s">
        <v>14</v>
      </c>
      <c r="J324" s="5">
        <v>45478.102083333331</v>
      </c>
      <c r="K324" s="7">
        <f t="shared" si="4"/>
        <v>4.8611111124046147E-3</v>
      </c>
    </row>
    <row r="325" spans="1:11" x14ac:dyDescent="0.25">
      <c r="A325" s="5">
        <v>45478.097916666666</v>
      </c>
      <c r="B325" s="3" t="s">
        <v>4</v>
      </c>
      <c r="C325" s="3">
        <v>10000009996</v>
      </c>
      <c r="D325" s="3" t="s">
        <v>9</v>
      </c>
      <c r="E325" s="3" t="s">
        <v>92</v>
      </c>
      <c r="F325" s="3" t="s">
        <v>6</v>
      </c>
      <c r="G325" s="3"/>
      <c r="H325" s="6" t="s">
        <v>328</v>
      </c>
      <c r="I325" s="6" t="s">
        <v>14</v>
      </c>
      <c r="J325" s="5">
        <v>45478.103472222225</v>
      </c>
      <c r="K325" s="7">
        <f t="shared" ref="K325:K388" si="5">J325-A325</f>
        <v>5.5555555591126904E-3</v>
      </c>
    </row>
    <row r="326" spans="1:11" x14ac:dyDescent="0.25">
      <c r="A326" s="5">
        <v>45478.097916666666</v>
      </c>
      <c r="B326" s="3" t="s">
        <v>4</v>
      </c>
      <c r="C326" s="3">
        <v>10000022234</v>
      </c>
      <c r="D326" s="3" t="s">
        <v>9</v>
      </c>
      <c r="E326" s="3" t="s">
        <v>100</v>
      </c>
      <c r="F326" s="3" t="s">
        <v>6</v>
      </c>
      <c r="G326" s="3"/>
      <c r="H326" s="6" t="s">
        <v>328</v>
      </c>
      <c r="I326" s="6" t="s">
        <v>14</v>
      </c>
      <c r="J326" s="5">
        <v>45478.102777777778</v>
      </c>
      <c r="K326" s="7">
        <f t="shared" si="5"/>
        <v>4.8611111124046147E-3</v>
      </c>
    </row>
    <row r="327" spans="1:11" x14ac:dyDescent="0.25">
      <c r="A327" s="5">
        <v>45478.097916666666</v>
      </c>
      <c r="B327" s="3" t="s">
        <v>330</v>
      </c>
      <c r="C327" s="3">
        <v>10000000824</v>
      </c>
      <c r="D327" s="3" t="s">
        <v>9</v>
      </c>
      <c r="E327" s="3" t="s">
        <v>149</v>
      </c>
      <c r="F327" s="3" t="s">
        <v>6</v>
      </c>
      <c r="G327" s="3"/>
      <c r="H327" s="6" t="s">
        <v>328</v>
      </c>
      <c r="I327" s="6" t="s">
        <v>14</v>
      </c>
      <c r="J327" s="5">
        <v>45478.102777777778</v>
      </c>
      <c r="K327" s="7">
        <f t="shared" si="5"/>
        <v>4.8611111124046147E-3</v>
      </c>
    </row>
    <row r="328" spans="1:11" x14ac:dyDescent="0.25">
      <c r="A328" s="5">
        <v>45478.097916666666</v>
      </c>
      <c r="B328" s="3" t="s">
        <v>331</v>
      </c>
      <c r="C328" s="3">
        <v>10000000822</v>
      </c>
      <c r="D328" s="3" t="s">
        <v>9</v>
      </c>
      <c r="E328" s="3" t="s">
        <v>179</v>
      </c>
      <c r="F328" s="3" t="s">
        <v>6</v>
      </c>
      <c r="G328" s="3"/>
      <c r="H328" s="6" t="s">
        <v>328</v>
      </c>
      <c r="I328" s="6" t="s">
        <v>14</v>
      </c>
      <c r="J328" s="5">
        <v>45478.104166666664</v>
      </c>
      <c r="K328" s="7">
        <f t="shared" si="5"/>
        <v>6.2499999985448085E-3</v>
      </c>
    </row>
    <row r="329" spans="1:11" x14ac:dyDescent="0.25">
      <c r="A329" s="5">
        <v>45478.097916666666</v>
      </c>
      <c r="B329" s="3" t="s">
        <v>4</v>
      </c>
      <c r="C329" s="3">
        <v>10000083448</v>
      </c>
      <c r="D329" s="3" t="s">
        <v>45</v>
      </c>
      <c r="E329" s="3" t="s">
        <v>268</v>
      </c>
      <c r="F329" s="3" t="s">
        <v>6</v>
      </c>
      <c r="G329" s="3"/>
      <c r="H329" s="6" t="s">
        <v>328</v>
      </c>
      <c r="I329" s="6" t="s">
        <v>14</v>
      </c>
      <c r="J329" s="5">
        <v>45478.103472222225</v>
      </c>
      <c r="K329" s="7">
        <f t="shared" si="5"/>
        <v>5.5555555591126904E-3</v>
      </c>
    </row>
    <row r="330" spans="1:11" x14ac:dyDescent="0.25">
      <c r="A330" s="5">
        <v>45478.098611111112</v>
      </c>
      <c r="B330" s="3" t="s">
        <v>332</v>
      </c>
      <c r="C330" s="3">
        <v>7853300001</v>
      </c>
      <c r="D330" s="3" t="s">
        <v>9</v>
      </c>
      <c r="E330" s="3" t="s">
        <v>19</v>
      </c>
      <c r="F330" s="3" t="s">
        <v>6</v>
      </c>
      <c r="G330" s="3"/>
      <c r="H330" s="6" t="s">
        <v>328</v>
      </c>
      <c r="I330" s="6" t="s">
        <v>14</v>
      </c>
      <c r="J330" s="5">
        <v>45478.102083333331</v>
      </c>
      <c r="K330" s="7">
        <f t="shared" si="5"/>
        <v>3.4722222189884633E-3</v>
      </c>
    </row>
    <row r="331" spans="1:11" x14ac:dyDescent="0.25">
      <c r="A331" s="5">
        <v>45478.534722222219</v>
      </c>
      <c r="B331" s="3" t="s">
        <v>4</v>
      </c>
      <c r="C331" s="3">
        <v>6999020001</v>
      </c>
      <c r="D331" s="3" t="s">
        <v>10</v>
      </c>
      <c r="E331" s="3" t="s">
        <v>72</v>
      </c>
      <c r="F331" s="3" t="s">
        <v>6</v>
      </c>
      <c r="G331" s="3"/>
      <c r="H331" s="6" t="s">
        <v>333</v>
      </c>
      <c r="I331" s="6" t="s">
        <v>45</v>
      </c>
      <c r="J331" s="5">
        <v>45478.754166666666</v>
      </c>
      <c r="K331" s="7">
        <f t="shared" si="5"/>
        <v>0.21944444444670808</v>
      </c>
    </row>
    <row r="332" spans="1:11" x14ac:dyDescent="0.25">
      <c r="A332" s="5">
        <v>45478.94027777778</v>
      </c>
      <c r="B332" s="3" t="s">
        <v>334</v>
      </c>
      <c r="C332" s="3">
        <v>10000058781</v>
      </c>
      <c r="D332" s="3" t="s">
        <v>9</v>
      </c>
      <c r="E332" s="3" t="s">
        <v>247</v>
      </c>
      <c r="F332" s="3" t="s">
        <v>6</v>
      </c>
      <c r="G332" s="3"/>
      <c r="H332" s="6" t="s">
        <v>335</v>
      </c>
      <c r="I332" s="6" t="s">
        <v>14</v>
      </c>
      <c r="J332" s="5">
        <v>45479.015277777777</v>
      </c>
      <c r="K332" s="7">
        <f t="shared" si="5"/>
        <v>7.4999999997089617E-2</v>
      </c>
    </row>
    <row r="333" spans="1:11" x14ac:dyDescent="0.25">
      <c r="A333" s="5">
        <v>45478.945138888892</v>
      </c>
      <c r="B333" s="3" t="s">
        <v>336</v>
      </c>
      <c r="C333" s="3">
        <v>10000058627</v>
      </c>
      <c r="D333" s="3" t="s">
        <v>9</v>
      </c>
      <c r="E333" s="3" t="s">
        <v>160</v>
      </c>
      <c r="F333" s="3" t="s">
        <v>6</v>
      </c>
      <c r="G333" s="3"/>
      <c r="H333" s="6" t="s">
        <v>335</v>
      </c>
      <c r="I333" s="6" t="s">
        <v>14</v>
      </c>
      <c r="J333" s="5">
        <v>45479.015972222223</v>
      </c>
      <c r="K333" s="7">
        <f t="shared" si="5"/>
        <v>7.0833333331393078E-2</v>
      </c>
    </row>
    <row r="334" spans="1:11" x14ac:dyDescent="0.25">
      <c r="A334" s="5">
        <v>45478.946527777778</v>
      </c>
      <c r="B334" s="3" t="s">
        <v>337</v>
      </c>
      <c r="C334" s="3">
        <v>10000296994</v>
      </c>
      <c r="D334" s="3" t="s">
        <v>9</v>
      </c>
      <c r="E334" s="3" t="s">
        <v>338</v>
      </c>
      <c r="F334" s="3" t="s">
        <v>6</v>
      </c>
      <c r="G334" s="3"/>
      <c r="H334" s="6" t="s">
        <v>335</v>
      </c>
      <c r="I334" s="6" t="s">
        <v>14</v>
      </c>
      <c r="J334" s="5">
        <v>45479.01458333333</v>
      </c>
      <c r="K334" s="7">
        <f t="shared" si="5"/>
        <v>6.8055555551836733E-2</v>
      </c>
    </row>
    <row r="335" spans="1:11" x14ac:dyDescent="0.25">
      <c r="A335" s="5">
        <v>45478.955555555556</v>
      </c>
      <c r="B335" s="3" t="s">
        <v>339</v>
      </c>
      <c r="C335" s="3">
        <v>10000022234</v>
      </c>
      <c r="D335" s="3" t="s">
        <v>9</v>
      </c>
      <c r="E335" s="3" t="s">
        <v>100</v>
      </c>
      <c r="F335" s="3" t="s">
        <v>6</v>
      </c>
      <c r="G335" s="3"/>
      <c r="H335" s="6" t="s">
        <v>335</v>
      </c>
      <c r="I335" s="6" t="s">
        <v>14</v>
      </c>
      <c r="J335" s="5">
        <v>45479.01458333333</v>
      </c>
      <c r="K335" s="7">
        <f t="shared" si="5"/>
        <v>5.9027777773735579E-2</v>
      </c>
    </row>
    <row r="336" spans="1:11" x14ac:dyDescent="0.25">
      <c r="A336" s="5">
        <v>45479.526388888888</v>
      </c>
      <c r="B336" s="3" t="s">
        <v>340</v>
      </c>
      <c r="C336" s="3" t="s">
        <v>341</v>
      </c>
      <c r="D336" s="3" t="s">
        <v>10</v>
      </c>
      <c r="E336" s="3" t="s">
        <v>112</v>
      </c>
      <c r="F336" s="3" t="s">
        <v>90</v>
      </c>
      <c r="G336" s="3"/>
      <c r="H336" s="6" t="s">
        <v>342</v>
      </c>
      <c r="I336" s="6" t="s">
        <v>14</v>
      </c>
      <c r="J336" s="5">
        <v>45480.060416666667</v>
      </c>
      <c r="K336" s="7">
        <f t="shared" si="5"/>
        <v>0.53402777777955635</v>
      </c>
    </row>
    <row r="337" spans="1:11" x14ac:dyDescent="0.25">
      <c r="A337" s="5">
        <v>45479.527777777781</v>
      </c>
      <c r="B337" s="3" t="s">
        <v>343</v>
      </c>
      <c r="C337" s="3">
        <v>10000058617</v>
      </c>
      <c r="D337" s="3" t="s">
        <v>10</v>
      </c>
      <c r="E337" s="3" t="s">
        <v>32</v>
      </c>
      <c r="F337" s="3" t="s">
        <v>90</v>
      </c>
      <c r="G337" s="3"/>
      <c r="H337" s="6" t="s">
        <v>342</v>
      </c>
      <c r="I337" s="6" t="s">
        <v>14</v>
      </c>
      <c r="J337" s="5">
        <v>45480.060416666667</v>
      </c>
      <c r="K337" s="7">
        <f t="shared" si="5"/>
        <v>0.53263888888614019</v>
      </c>
    </row>
    <row r="338" spans="1:11" x14ac:dyDescent="0.25">
      <c r="A338" s="5">
        <v>45480.34097222222</v>
      </c>
      <c r="B338" s="3" t="s">
        <v>4</v>
      </c>
      <c r="C338" s="3">
        <v>10000514345</v>
      </c>
      <c r="D338" s="3" t="s">
        <v>9</v>
      </c>
      <c r="E338" s="3" t="s">
        <v>11</v>
      </c>
      <c r="F338" s="3" t="s">
        <v>6</v>
      </c>
      <c r="G338" s="3"/>
      <c r="H338" s="6" t="s">
        <v>42</v>
      </c>
      <c r="I338" s="6" t="s">
        <v>13</v>
      </c>
      <c r="J338" s="5">
        <v>45480.343055555553</v>
      </c>
      <c r="K338" s="7">
        <f t="shared" si="5"/>
        <v>2.0833333328482695E-3</v>
      </c>
    </row>
    <row r="339" spans="1:11" x14ac:dyDescent="0.25">
      <c r="A339" s="5">
        <v>45480.573611111111</v>
      </c>
      <c r="B339" s="3" t="s">
        <v>4</v>
      </c>
      <c r="C339" s="3">
        <v>10000514345</v>
      </c>
      <c r="D339" s="3" t="s">
        <v>9</v>
      </c>
      <c r="E339" s="3" t="s">
        <v>11</v>
      </c>
      <c r="F339" s="3" t="s">
        <v>6</v>
      </c>
      <c r="G339" s="3"/>
      <c r="H339" s="6" t="s">
        <v>42</v>
      </c>
      <c r="I339" s="6" t="s">
        <v>13</v>
      </c>
      <c r="J339" s="5">
        <v>45480.575694444444</v>
      </c>
      <c r="K339" s="7">
        <f t="shared" si="5"/>
        <v>2.0833333328482695E-3</v>
      </c>
    </row>
    <row r="340" spans="1:11" x14ac:dyDescent="0.25">
      <c r="A340" s="5">
        <v>45481.559027777781</v>
      </c>
      <c r="B340" s="3" t="s">
        <v>4</v>
      </c>
      <c r="C340" s="3">
        <v>10000004781</v>
      </c>
      <c r="D340" s="3" t="s">
        <v>45</v>
      </c>
      <c r="E340" s="3" t="s">
        <v>44</v>
      </c>
      <c r="F340" s="3" t="s">
        <v>6</v>
      </c>
      <c r="G340" s="3"/>
      <c r="H340" s="6" t="s">
        <v>42</v>
      </c>
      <c r="I340" s="6" t="s">
        <v>13</v>
      </c>
      <c r="J340" s="5">
        <v>45481.561111111114</v>
      </c>
      <c r="K340" s="7">
        <f t="shared" si="5"/>
        <v>2.0833333328482695E-3</v>
      </c>
    </row>
    <row r="341" spans="1:11" x14ac:dyDescent="0.25">
      <c r="A341" s="5">
        <v>45481.564583333333</v>
      </c>
      <c r="B341" s="3" t="s">
        <v>4</v>
      </c>
      <c r="C341" s="3">
        <v>10000004781</v>
      </c>
      <c r="D341" s="3" t="s">
        <v>45</v>
      </c>
      <c r="E341" s="3" t="s">
        <v>44</v>
      </c>
      <c r="F341" s="3" t="s">
        <v>6</v>
      </c>
      <c r="G341" s="3"/>
      <c r="H341" s="6" t="s">
        <v>42</v>
      </c>
      <c r="I341" s="6" t="s">
        <v>13</v>
      </c>
      <c r="J341" s="5">
        <v>45481.572222222225</v>
      </c>
      <c r="K341" s="7">
        <f t="shared" si="5"/>
        <v>7.6388888919609599E-3</v>
      </c>
    </row>
    <row r="342" spans="1:11" x14ac:dyDescent="0.25">
      <c r="A342" s="5">
        <v>45481.643750000003</v>
      </c>
      <c r="B342" s="3" t="s">
        <v>4</v>
      </c>
      <c r="C342" s="3">
        <v>10000577752</v>
      </c>
      <c r="D342" s="3" t="s">
        <v>9</v>
      </c>
      <c r="E342" s="3" t="s">
        <v>21</v>
      </c>
      <c r="F342" s="3" t="s">
        <v>6</v>
      </c>
      <c r="G342" s="3"/>
      <c r="H342" s="6" t="s">
        <v>42</v>
      </c>
      <c r="I342" s="6" t="s">
        <v>13</v>
      </c>
      <c r="J342" s="5">
        <v>45481.663194444445</v>
      </c>
      <c r="K342" s="7">
        <f t="shared" si="5"/>
        <v>1.9444444442342501E-2</v>
      </c>
    </row>
    <row r="343" spans="1:11" x14ac:dyDescent="0.25">
      <c r="A343" s="5">
        <v>45482.429166666669</v>
      </c>
      <c r="B343" s="3" t="s">
        <v>4</v>
      </c>
      <c r="C343" s="3">
        <v>10000450331</v>
      </c>
      <c r="D343" s="3" t="s">
        <v>9</v>
      </c>
      <c r="E343" s="3" t="s">
        <v>217</v>
      </c>
      <c r="F343" s="3" t="s">
        <v>6</v>
      </c>
      <c r="G343" s="3"/>
      <c r="H343" s="6" t="s">
        <v>199</v>
      </c>
      <c r="I343" s="6" t="s">
        <v>13</v>
      </c>
      <c r="J343" s="5">
        <v>45482.518750000003</v>
      </c>
      <c r="K343" s="7">
        <f t="shared" si="5"/>
        <v>8.9583333334303461E-2</v>
      </c>
    </row>
    <row r="344" spans="1:11" x14ac:dyDescent="0.25">
      <c r="A344" s="5">
        <v>45482.541666666664</v>
      </c>
      <c r="B344" s="3" t="s">
        <v>345</v>
      </c>
      <c r="C344" s="3">
        <v>10000000824</v>
      </c>
      <c r="D344" s="3" t="s">
        <v>9</v>
      </c>
      <c r="E344" s="3" t="s">
        <v>149</v>
      </c>
      <c r="F344" s="3" t="s">
        <v>6</v>
      </c>
      <c r="G344" s="3"/>
      <c r="H344" s="6" t="s">
        <v>346</v>
      </c>
      <c r="I344" s="6" t="s">
        <v>14</v>
      </c>
      <c r="J344" s="5">
        <v>45482.580555555556</v>
      </c>
      <c r="K344" s="7">
        <f t="shared" si="5"/>
        <v>3.888888889196096E-2</v>
      </c>
    </row>
    <row r="345" spans="1:11" x14ac:dyDescent="0.25">
      <c r="A345" s="5">
        <v>45482.686805555553</v>
      </c>
      <c r="B345" s="3" t="s">
        <v>4</v>
      </c>
      <c r="C345" s="3">
        <v>6963530001</v>
      </c>
      <c r="D345" s="3" t="s">
        <v>9</v>
      </c>
      <c r="E345" s="3" t="s">
        <v>67</v>
      </c>
      <c r="F345" s="3" t="s">
        <v>6</v>
      </c>
      <c r="G345" s="3"/>
      <c r="H345" s="6" t="s">
        <v>347</v>
      </c>
      <c r="I345" s="6" t="s">
        <v>14</v>
      </c>
      <c r="J345" s="5">
        <v>45482.691666666666</v>
      </c>
      <c r="K345" s="7">
        <f t="shared" si="5"/>
        <v>4.8611111124046147E-3</v>
      </c>
    </row>
    <row r="346" spans="1:11" x14ac:dyDescent="0.25">
      <c r="A346" s="5">
        <v>45482.838194444441</v>
      </c>
      <c r="B346" s="3" t="s">
        <v>4</v>
      </c>
      <c r="C346" s="3">
        <v>7810530001</v>
      </c>
      <c r="D346" s="3" t="s">
        <v>9</v>
      </c>
      <c r="E346" s="3" t="s">
        <v>26</v>
      </c>
      <c r="F346" s="3" t="s">
        <v>6</v>
      </c>
      <c r="G346" s="3"/>
      <c r="H346" s="6" t="s">
        <v>348</v>
      </c>
      <c r="I346" s="6" t="s">
        <v>14</v>
      </c>
      <c r="J346" s="5">
        <v>45482.840277777781</v>
      </c>
      <c r="K346" s="7">
        <f t="shared" si="5"/>
        <v>2.0833333401242271E-3</v>
      </c>
    </row>
    <row r="347" spans="1:11" x14ac:dyDescent="0.25">
      <c r="A347" s="5">
        <v>45483.393750000003</v>
      </c>
      <c r="B347" s="3" t="s">
        <v>4</v>
      </c>
      <c r="C347" s="3">
        <v>7810530001</v>
      </c>
      <c r="D347" s="3" t="s">
        <v>9</v>
      </c>
      <c r="E347" s="3" t="s">
        <v>26</v>
      </c>
      <c r="F347" s="3" t="s">
        <v>6</v>
      </c>
      <c r="G347" s="3"/>
      <c r="H347" s="6" t="s">
        <v>348</v>
      </c>
      <c r="I347" s="6" t="s">
        <v>14</v>
      </c>
      <c r="J347" s="5">
        <v>45483.431250000001</v>
      </c>
      <c r="K347" s="7">
        <f t="shared" si="5"/>
        <v>3.7499999998544808E-2</v>
      </c>
    </row>
    <row r="348" spans="1:11" x14ac:dyDescent="0.25">
      <c r="A348" s="5">
        <v>45483.43472222222</v>
      </c>
      <c r="B348" s="3" t="s">
        <v>351</v>
      </c>
      <c r="C348" s="3">
        <v>10000024475</v>
      </c>
      <c r="D348" s="3" t="s">
        <v>10</v>
      </c>
      <c r="E348" s="3" t="s">
        <v>23</v>
      </c>
      <c r="F348" s="3" t="s">
        <v>6</v>
      </c>
      <c r="G348" s="3"/>
      <c r="H348" s="6" t="s">
        <v>357</v>
      </c>
      <c r="I348" s="6" t="s">
        <v>14</v>
      </c>
      <c r="J348" s="5">
        <v>45484.668749999997</v>
      </c>
      <c r="K348" s="7">
        <f t="shared" si="5"/>
        <v>1.234027777776646</v>
      </c>
    </row>
    <row r="349" spans="1:11" x14ac:dyDescent="0.25">
      <c r="A349" s="5">
        <v>45483.534722222219</v>
      </c>
      <c r="B349" s="3" t="s">
        <v>4</v>
      </c>
      <c r="C349" s="3">
        <v>10000344647</v>
      </c>
      <c r="D349" s="3" t="s">
        <v>9</v>
      </c>
      <c r="E349" s="3" t="s">
        <v>349</v>
      </c>
      <c r="F349" s="3" t="s">
        <v>6</v>
      </c>
      <c r="G349" s="3"/>
      <c r="H349" s="6" t="s">
        <v>350</v>
      </c>
      <c r="I349" s="6" t="s">
        <v>13</v>
      </c>
      <c r="J349" s="5">
        <v>45483.750694444447</v>
      </c>
      <c r="K349" s="7">
        <f t="shared" si="5"/>
        <v>0.21597222222771961</v>
      </c>
    </row>
    <row r="350" spans="1:11" x14ac:dyDescent="0.25">
      <c r="A350" s="5">
        <v>45484.488194444442</v>
      </c>
      <c r="B350" s="3" t="s">
        <v>352</v>
      </c>
      <c r="C350" s="3">
        <v>7810530001</v>
      </c>
      <c r="D350" s="3" t="s">
        <v>9</v>
      </c>
      <c r="E350" s="3" t="s">
        <v>26</v>
      </c>
      <c r="F350" s="3" t="s">
        <v>6</v>
      </c>
      <c r="G350" s="3"/>
      <c r="H350" s="6" t="s">
        <v>353</v>
      </c>
      <c r="I350" s="6" t="s">
        <v>14</v>
      </c>
      <c r="J350" s="5">
        <v>45484.75277777778</v>
      </c>
      <c r="K350" s="7">
        <f t="shared" si="5"/>
        <v>0.26458333333721384</v>
      </c>
    </row>
    <row r="351" spans="1:11" x14ac:dyDescent="0.25">
      <c r="A351" s="5">
        <v>45485.129166666666</v>
      </c>
      <c r="B351" s="3" t="s">
        <v>4</v>
      </c>
      <c r="C351" s="3">
        <v>10000514345</v>
      </c>
      <c r="D351" s="3" t="s">
        <v>9</v>
      </c>
      <c r="E351" s="3" t="s">
        <v>11</v>
      </c>
      <c r="F351" s="3" t="s">
        <v>6</v>
      </c>
      <c r="G351" s="3"/>
      <c r="H351" s="6" t="s">
        <v>42</v>
      </c>
      <c r="I351" s="6" t="s">
        <v>13</v>
      </c>
      <c r="J351" s="5">
        <v>45485.134722222225</v>
      </c>
      <c r="K351" s="7">
        <f t="shared" si="5"/>
        <v>5.5555555591126904E-3</v>
      </c>
    </row>
    <row r="352" spans="1:11" x14ac:dyDescent="0.25">
      <c r="A352" s="5">
        <v>45485.40625</v>
      </c>
      <c r="B352" s="3" t="s">
        <v>4</v>
      </c>
      <c r="C352" s="3">
        <v>10000081665</v>
      </c>
      <c r="D352" s="3" t="s">
        <v>10</v>
      </c>
      <c r="E352" s="3" t="s">
        <v>49</v>
      </c>
      <c r="F352" s="3" t="s">
        <v>6</v>
      </c>
      <c r="G352" s="3"/>
      <c r="H352" s="6" t="s">
        <v>42</v>
      </c>
      <c r="I352" s="6" t="s">
        <v>13</v>
      </c>
      <c r="J352" s="5">
        <v>45485.406944444447</v>
      </c>
      <c r="K352" s="7">
        <f t="shared" si="5"/>
        <v>6.944444467080757E-4</v>
      </c>
    </row>
    <row r="353" spans="1:11" x14ac:dyDescent="0.25">
      <c r="A353" s="5">
        <v>45485.428472222222</v>
      </c>
      <c r="B353" s="3" t="s">
        <v>354</v>
      </c>
      <c r="C353" s="3">
        <v>7810530001</v>
      </c>
      <c r="D353" s="3" t="s">
        <v>9</v>
      </c>
      <c r="E353" s="3" t="s">
        <v>26</v>
      </c>
      <c r="F353" s="3" t="s">
        <v>6</v>
      </c>
      <c r="G353" s="3"/>
      <c r="H353" s="6" t="s">
        <v>355</v>
      </c>
      <c r="I353" s="6" t="s">
        <v>14</v>
      </c>
      <c r="J353" s="5">
        <v>45485.615972222222</v>
      </c>
      <c r="K353" s="7">
        <f t="shared" si="5"/>
        <v>0.1875</v>
      </c>
    </row>
    <row r="354" spans="1:11" x14ac:dyDescent="0.25">
      <c r="A354" s="5">
        <v>45487.448611111111</v>
      </c>
      <c r="B354" s="3" t="s">
        <v>4</v>
      </c>
      <c r="C354" s="3">
        <v>10000000822</v>
      </c>
      <c r="D354" s="3" t="s">
        <v>9</v>
      </c>
      <c r="E354" s="3" t="s">
        <v>179</v>
      </c>
      <c r="F354" s="3" t="s">
        <v>6</v>
      </c>
      <c r="G354" s="3"/>
      <c r="H354" s="6" t="s">
        <v>356</v>
      </c>
      <c r="I354" s="6" t="s">
        <v>13</v>
      </c>
      <c r="J354" s="5">
        <v>45487.597916666666</v>
      </c>
      <c r="K354" s="7">
        <f t="shared" si="5"/>
        <v>0.14930555555474712</v>
      </c>
    </row>
    <row r="355" spans="1:11" x14ac:dyDescent="0.25">
      <c r="A355" s="5">
        <v>45488.470138888886</v>
      </c>
      <c r="B355" s="3" t="s">
        <v>4</v>
      </c>
      <c r="C355" s="3">
        <v>10000577752</v>
      </c>
      <c r="D355" s="3" t="s">
        <v>9</v>
      </c>
      <c r="E355" s="3" t="s">
        <v>21</v>
      </c>
      <c r="F355" s="3" t="s">
        <v>6</v>
      </c>
      <c r="G355" s="3"/>
      <c r="H355" s="6" t="s">
        <v>42</v>
      </c>
      <c r="I355" s="6" t="s">
        <v>13</v>
      </c>
      <c r="J355" s="5">
        <v>45488.759722222225</v>
      </c>
      <c r="K355" s="7">
        <f t="shared" si="5"/>
        <v>0.28958333333866904</v>
      </c>
    </row>
    <row r="356" spans="1:11" x14ac:dyDescent="0.25">
      <c r="A356" s="5">
        <v>45489.368750000001</v>
      </c>
      <c r="B356" s="3" t="s">
        <v>4</v>
      </c>
      <c r="C356" s="3">
        <v>10000000824</v>
      </c>
      <c r="D356" s="3" t="s">
        <v>9</v>
      </c>
      <c r="E356" s="3" t="s">
        <v>149</v>
      </c>
      <c r="F356" s="3" t="s">
        <v>6</v>
      </c>
      <c r="G356" s="3"/>
      <c r="H356" s="6" t="s">
        <v>321</v>
      </c>
      <c r="I356" s="6" t="s">
        <v>14</v>
      </c>
      <c r="J356" s="5">
        <v>45489.731944444444</v>
      </c>
      <c r="K356" s="7">
        <f t="shared" si="5"/>
        <v>0.3631944444423425</v>
      </c>
    </row>
    <row r="357" spans="1:11" ht="30" x14ac:dyDescent="0.25">
      <c r="A357" s="5">
        <v>45490.183333333334</v>
      </c>
      <c r="B357" s="3" t="s">
        <v>4</v>
      </c>
      <c r="C357" s="3">
        <v>10000347457</v>
      </c>
      <c r="D357" s="3" t="s">
        <v>9</v>
      </c>
      <c r="E357" s="3" t="s">
        <v>93</v>
      </c>
      <c r="F357" s="3" t="s">
        <v>6</v>
      </c>
      <c r="G357" s="3"/>
      <c r="H357" s="6" t="s">
        <v>358</v>
      </c>
      <c r="I357" s="6" t="s">
        <v>14</v>
      </c>
      <c r="J357" s="5">
        <v>45490.341666666667</v>
      </c>
      <c r="K357" s="7">
        <f t="shared" si="5"/>
        <v>0.15833333333284827</v>
      </c>
    </row>
    <row r="358" spans="1:11" x14ac:dyDescent="0.25">
      <c r="A358" s="5">
        <v>45491.056944444441</v>
      </c>
      <c r="B358" s="3" t="s">
        <v>4</v>
      </c>
      <c r="C358" s="3">
        <v>10000581647</v>
      </c>
      <c r="D358" s="3" t="s">
        <v>10</v>
      </c>
      <c r="E358" s="3" t="s">
        <v>359</v>
      </c>
      <c r="F358" s="3" t="s">
        <v>6</v>
      </c>
      <c r="G358" s="3"/>
      <c r="H358" s="6" t="s">
        <v>360</v>
      </c>
      <c r="I358" s="6" t="s">
        <v>14</v>
      </c>
      <c r="J358" s="5">
        <v>45491.075694444444</v>
      </c>
      <c r="K358" s="7">
        <f t="shared" si="5"/>
        <v>1.8750000002910383E-2</v>
      </c>
    </row>
    <row r="359" spans="1:11" x14ac:dyDescent="0.25">
      <c r="A359" s="5">
        <v>45491.423611111109</v>
      </c>
      <c r="B359" s="3" t="s">
        <v>4</v>
      </c>
      <c r="C359" s="3">
        <v>7808270001</v>
      </c>
      <c r="D359" s="3" t="s">
        <v>9</v>
      </c>
      <c r="E359" s="3" t="s">
        <v>37</v>
      </c>
      <c r="F359" s="3" t="s">
        <v>6</v>
      </c>
      <c r="G359" s="3"/>
      <c r="H359" s="6" t="s">
        <v>42</v>
      </c>
      <c r="I359" s="6" t="s">
        <v>13</v>
      </c>
      <c r="J359" s="5">
        <v>45491.436111111114</v>
      </c>
      <c r="K359" s="7">
        <f t="shared" si="5"/>
        <v>1.2500000004365575E-2</v>
      </c>
    </row>
    <row r="360" spans="1:11" x14ac:dyDescent="0.25">
      <c r="A360" s="5">
        <v>45491.459027777775</v>
      </c>
      <c r="B360" s="3" t="s">
        <v>4</v>
      </c>
      <c r="C360" s="3">
        <v>7808270001</v>
      </c>
      <c r="D360" s="3" t="s">
        <v>9</v>
      </c>
      <c r="E360" s="3" t="s">
        <v>37</v>
      </c>
      <c r="F360" s="3" t="s">
        <v>6</v>
      </c>
      <c r="G360" s="3"/>
      <c r="H360" s="6" t="s">
        <v>42</v>
      </c>
      <c r="I360" s="6" t="s">
        <v>13</v>
      </c>
      <c r="J360" s="5">
        <v>45491.48333333333</v>
      </c>
      <c r="K360" s="7">
        <f t="shared" si="5"/>
        <v>2.4305555554747116E-2</v>
      </c>
    </row>
    <row r="361" spans="1:11" x14ac:dyDescent="0.25">
      <c r="A361" s="5">
        <v>45491.561805555553</v>
      </c>
      <c r="B361" s="3" t="s">
        <v>361</v>
      </c>
      <c r="C361" s="3">
        <v>10000000853</v>
      </c>
      <c r="D361" s="3" t="s">
        <v>9</v>
      </c>
      <c r="E361" s="3" t="s">
        <v>362</v>
      </c>
      <c r="F361" s="3" t="s">
        <v>6</v>
      </c>
      <c r="G361" s="3"/>
      <c r="H361" s="6" t="s">
        <v>363</v>
      </c>
      <c r="I361" s="6" t="s">
        <v>14</v>
      </c>
      <c r="J361" s="5">
        <v>45491.602083333331</v>
      </c>
      <c r="K361" s="7">
        <f t="shared" si="5"/>
        <v>4.0277777778101154E-2</v>
      </c>
    </row>
    <row r="362" spans="1:11" x14ac:dyDescent="0.25">
      <c r="A362" s="5">
        <v>45491.658333333333</v>
      </c>
      <c r="B362" s="3" t="s">
        <v>364</v>
      </c>
      <c r="C362" s="3">
        <v>10000457640</v>
      </c>
      <c r="D362" s="3" t="s">
        <v>104</v>
      </c>
      <c r="E362" s="3" t="s">
        <v>242</v>
      </c>
      <c r="F362" s="3" t="s">
        <v>6</v>
      </c>
      <c r="G362" s="3"/>
      <c r="H362" s="6" t="s">
        <v>365</v>
      </c>
      <c r="I362" s="6" t="s">
        <v>14</v>
      </c>
      <c r="J362" s="5">
        <v>45491.701388888891</v>
      </c>
      <c r="K362" s="7">
        <f t="shared" si="5"/>
        <v>4.3055555557657499E-2</v>
      </c>
    </row>
    <row r="363" spans="1:11" x14ac:dyDescent="0.25">
      <c r="A363" s="5">
        <v>45491.678472222222</v>
      </c>
      <c r="B363" s="3" t="s">
        <v>366</v>
      </c>
      <c r="C363" s="3">
        <v>7853300001</v>
      </c>
      <c r="D363" s="3" t="s">
        <v>9</v>
      </c>
      <c r="E363" s="3" t="s">
        <v>19</v>
      </c>
      <c r="F363" s="3" t="s">
        <v>6</v>
      </c>
      <c r="G363" s="3"/>
      <c r="H363" s="6" t="s">
        <v>367</v>
      </c>
      <c r="I363" s="6" t="s">
        <v>14</v>
      </c>
      <c r="J363" s="5">
        <v>45491.894444444442</v>
      </c>
      <c r="K363" s="7">
        <f t="shared" si="5"/>
        <v>0.21597222222044365</v>
      </c>
    </row>
    <row r="364" spans="1:11" x14ac:dyDescent="0.25">
      <c r="A364" s="5">
        <v>45491.681250000001</v>
      </c>
      <c r="B364" s="3" t="s">
        <v>368</v>
      </c>
      <c r="C364" s="3">
        <v>10000058627</v>
      </c>
      <c r="D364" s="3" t="s">
        <v>9</v>
      </c>
      <c r="E364" s="3" t="s">
        <v>160</v>
      </c>
      <c r="F364" s="3" t="s">
        <v>6</v>
      </c>
      <c r="G364" s="3"/>
      <c r="H364" s="6" t="s">
        <v>367</v>
      </c>
      <c r="I364" s="6" t="s">
        <v>14</v>
      </c>
      <c r="J364" s="5">
        <v>45491.894444444442</v>
      </c>
      <c r="K364" s="7">
        <f t="shared" si="5"/>
        <v>0.21319444444088731</v>
      </c>
    </row>
    <row r="365" spans="1:11" x14ac:dyDescent="0.25">
      <c r="A365" s="5">
        <v>45491.90347222222</v>
      </c>
      <c r="B365" s="3" t="s">
        <v>4</v>
      </c>
      <c r="C365" s="3">
        <v>10000058627</v>
      </c>
      <c r="D365" s="3" t="s">
        <v>9</v>
      </c>
      <c r="E365" s="3" t="s">
        <v>160</v>
      </c>
      <c r="F365" s="3" t="s">
        <v>6</v>
      </c>
      <c r="G365" s="3"/>
      <c r="H365" s="6" t="s">
        <v>367</v>
      </c>
      <c r="I365" s="6" t="s">
        <v>14</v>
      </c>
      <c r="J365" s="5">
        <v>45491.907638888886</v>
      </c>
      <c r="K365" s="7">
        <f t="shared" si="5"/>
        <v>4.166666665696539E-3</v>
      </c>
    </row>
    <row r="366" spans="1:11" x14ac:dyDescent="0.25">
      <c r="A366" s="5">
        <v>45491.90347222222</v>
      </c>
      <c r="B366" s="3" t="s">
        <v>4</v>
      </c>
      <c r="C366" s="3">
        <v>7853300001</v>
      </c>
      <c r="D366" s="3" t="s">
        <v>9</v>
      </c>
      <c r="E366" s="3" t="s">
        <v>19</v>
      </c>
      <c r="F366" s="3" t="s">
        <v>6</v>
      </c>
      <c r="G366" s="3"/>
      <c r="H366" s="6" t="s">
        <v>367</v>
      </c>
      <c r="I366" s="6" t="s">
        <v>14</v>
      </c>
      <c r="J366" s="5">
        <v>45491.907638888886</v>
      </c>
      <c r="K366" s="7">
        <f t="shared" si="5"/>
        <v>4.166666665696539E-3</v>
      </c>
    </row>
    <row r="367" spans="1:11" x14ac:dyDescent="0.25">
      <c r="A367" s="5">
        <v>45491.912499999999</v>
      </c>
      <c r="B367" s="3" t="s">
        <v>4</v>
      </c>
      <c r="C367" s="3">
        <v>10000058627</v>
      </c>
      <c r="D367" s="3" t="s">
        <v>9</v>
      </c>
      <c r="E367" s="3" t="s">
        <v>160</v>
      </c>
      <c r="F367" s="3" t="s">
        <v>6</v>
      </c>
      <c r="G367" s="3"/>
      <c r="H367" s="6" t="s">
        <v>367</v>
      </c>
      <c r="I367" s="6" t="s">
        <v>14</v>
      </c>
      <c r="J367" s="5">
        <v>45491.916666666664</v>
      </c>
      <c r="K367" s="7">
        <f t="shared" si="5"/>
        <v>4.166666665696539E-3</v>
      </c>
    </row>
    <row r="368" spans="1:11" x14ac:dyDescent="0.25">
      <c r="A368" s="5">
        <v>45491.912499999999</v>
      </c>
      <c r="B368" s="3" t="s">
        <v>4</v>
      </c>
      <c r="C368" s="3">
        <v>7853300001</v>
      </c>
      <c r="D368" s="3" t="s">
        <v>9</v>
      </c>
      <c r="E368" s="3" t="s">
        <v>19</v>
      </c>
      <c r="F368" s="3" t="s">
        <v>6</v>
      </c>
      <c r="G368" s="3"/>
      <c r="H368" s="6" t="s">
        <v>367</v>
      </c>
      <c r="I368" s="6" t="s">
        <v>14</v>
      </c>
      <c r="J368" s="5">
        <v>45491.916666666664</v>
      </c>
      <c r="K368" s="7">
        <f t="shared" si="5"/>
        <v>4.166666665696539E-3</v>
      </c>
    </row>
    <row r="369" spans="1:11" x14ac:dyDescent="0.25">
      <c r="A369" s="5">
        <v>45492.510416666664</v>
      </c>
      <c r="B369" s="3" t="s">
        <v>4</v>
      </c>
      <c r="C369" s="3">
        <v>10000004781</v>
      </c>
      <c r="D369" s="3" t="s">
        <v>45</v>
      </c>
      <c r="E369" s="3" t="s">
        <v>44</v>
      </c>
      <c r="F369" s="3" t="s">
        <v>6</v>
      </c>
      <c r="G369" s="3"/>
      <c r="H369" s="6" t="s">
        <v>42</v>
      </c>
      <c r="I369" s="6" t="s">
        <v>13</v>
      </c>
      <c r="J369" s="5">
        <v>45492.519444444442</v>
      </c>
      <c r="K369" s="7">
        <f t="shared" si="5"/>
        <v>9.0277777781011537E-3</v>
      </c>
    </row>
    <row r="370" spans="1:11" x14ac:dyDescent="0.25">
      <c r="A370" s="5">
        <v>45492.520138888889</v>
      </c>
      <c r="B370" s="3" t="s">
        <v>369</v>
      </c>
      <c r="C370" s="3">
        <v>10000000853</v>
      </c>
      <c r="D370" s="3" t="s">
        <v>9</v>
      </c>
      <c r="E370" s="3" t="s">
        <v>62</v>
      </c>
      <c r="F370" s="3" t="s">
        <v>6</v>
      </c>
      <c r="G370" s="3"/>
      <c r="H370" s="6" t="s">
        <v>370</v>
      </c>
      <c r="I370" s="6" t="s">
        <v>14</v>
      </c>
      <c r="J370" s="5">
        <v>45492.522222222222</v>
      </c>
      <c r="K370" s="7">
        <f t="shared" si="5"/>
        <v>2.0833333328482695E-3</v>
      </c>
    </row>
    <row r="371" spans="1:11" x14ac:dyDescent="0.25">
      <c r="A371" s="5">
        <v>45492.540972222225</v>
      </c>
      <c r="B371" s="3" t="s">
        <v>369</v>
      </c>
      <c r="C371" s="3">
        <v>10000000853</v>
      </c>
      <c r="D371" s="3" t="s">
        <v>9</v>
      </c>
      <c r="E371" s="3" t="s">
        <v>62</v>
      </c>
      <c r="F371" s="3" t="s">
        <v>6</v>
      </c>
      <c r="G371" s="3"/>
      <c r="H371" s="6" t="s">
        <v>370</v>
      </c>
      <c r="I371" s="6" t="s">
        <v>14</v>
      </c>
      <c r="J371" s="5">
        <v>45492.544444444444</v>
      </c>
      <c r="K371" s="7">
        <f t="shared" si="5"/>
        <v>3.4722222189884633E-3</v>
      </c>
    </row>
    <row r="372" spans="1:11" x14ac:dyDescent="0.25">
      <c r="A372" s="5">
        <v>45493.504166666666</v>
      </c>
      <c r="B372" s="3" t="s">
        <v>371</v>
      </c>
      <c r="C372" s="3">
        <v>10000022234</v>
      </c>
      <c r="D372" s="3" t="s">
        <v>9</v>
      </c>
      <c r="E372" s="3" t="s">
        <v>100</v>
      </c>
      <c r="F372" s="3" t="s">
        <v>6</v>
      </c>
      <c r="G372" s="3"/>
      <c r="H372" s="6" t="s">
        <v>372</v>
      </c>
      <c r="I372" s="6" t="s">
        <v>14</v>
      </c>
      <c r="J372" s="5">
        <v>45493.696527777778</v>
      </c>
      <c r="K372" s="7">
        <f t="shared" si="5"/>
        <v>0.19236111111240461</v>
      </c>
    </row>
    <row r="373" spans="1:11" x14ac:dyDescent="0.25">
      <c r="A373" s="5">
        <v>45493.542361111111</v>
      </c>
      <c r="B373" s="3" t="s">
        <v>4</v>
      </c>
      <c r="C373" s="3">
        <v>10000058627</v>
      </c>
      <c r="D373" s="3" t="s">
        <v>9</v>
      </c>
      <c r="E373" s="3" t="s">
        <v>160</v>
      </c>
      <c r="F373" s="3" t="s">
        <v>6</v>
      </c>
      <c r="G373" s="3"/>
      <c r="H373" s="6" t="s">
        <v>101</v>
      </c>
      <c r="I373" s="6" t="s">
        <v>14</v>
      </c>
      <c r="J373" s="5">
        <v>45493.550694444442</v>
      </c>
      <c r="K373" s="7">
        <f t="shared" si="5"/>
        <v>8.333333331393078E-3</v>
      </c>
    </row>
    <row r="374" spans="1:11" x14ac:dyDescent="0.25">
      <c r="A374" s="5">
        <v>45493.542361111111</v>
      </c>
      <c r="B374" s="3" t="s">
        <v>4</v>
      </c>
      <c r="C374" s="3">
        <v>7853300001</v>
      </c>
      <c r="D374" s="3" t="s">
        <v>9</v>
      </c>
      <c r="E374" s="3" t="s">
        <v>19</v>
      </c>
      <c r="F374" s="3" t="s">
        <v>6</v>
      </c>
      <c r="G374" s="3"/>
      <c r="H374" s="6" t="s">
        <v>101</v>
      </c>
      <c r="I374" s="6" t="s">
        <v>14</v>
      </c>
      <c r="J374" s="5">
        <v>45493.548611111109</v>
      </c>
      <c r="K374" s="7">
        <f t="shared" si="5"/>
        <v>6.2499999985448085E-3</v>
      </c>
    </row>
    <row r="375" spans="1:11" x14ac:dyDescent="0.25">
      <c r="A375" s="5">
        <v>45493.654861111114</v>
      </c>
      <c r="B375" s="3" t="s">
        <v>4</v>
      </c>
      <c r="C375" s="3">
        <v>7810530001</v>
      </c>
      <c r="D375" s="3" t="s">
        <v>9</v>
      </c>
      <c r="E375" s="3" t="s">
        <v>26</v>
      </c>
      <c r="F375" s="3" t="s">
        <v>6</v>
      </c>
      <c r="G375" s="3"/>
      <c r="H375" s="6" t="s">
        <v>101</v>
      </c>
      <c r="I375" s="6" t="s">
        <v>14</v>
      </c>
      <c r="J375" s="5">
        <v>45493.65902777778</v>
      </c>
      <c r="K375" s="7">
        <f t="shared" si="5"/>
        <v>4.166666665696539E-3</v>
      </c>
    </row>
    <row r="376" spans="1:11" x14ac:dyDescent="0.25">
      <c r="A376" s="5">
        <v>45493.71597222222</v>
      </c>
      <c r="B376" s="3" t="s">
        <v>371</v>
      </c>
      <c r="C376" s="3">
        <v>10000022234</v>
      </c>
      <c r="D376" s="3" t="s">
        <v>9</v>
      </c>
      <c r="E376" s="3" t="s">
        <v>100</v>
      </c>
      <c r="F376" s="3" t="s">
        <v>6</v>
      </c>
      <c r="G376" s="3"/>
      <c r="H376" s="6" t="s">
        <v>372</v>
      </c>
      <c r="I376" s="6" t="s">
        <v>14</v>
      </c>
      <c r="J376" s="5">
        <v>45493.71875</v>
      </c>
      <c r="K376" s="7">
        <f t="shared" si="5"/>
        <v>2.7777777795563452E-3</v>
      </c>
    </row>
    <row r="377" spans="1:11" x14ac:dyDescent="0.25">
      <c r="A377" s="5">
        <v>45493.78125</v>
      </c>
      <c r="B377" s="3" t="s">
        <v>4</v>
      </c>
      <c r="C377" s="3">
        <v>10000081665</v>
      </c>
      <c r="D377" s="3" t="s">
        <v>10</v>
      </c>
      <c r="E377" s="3" t="s">
        <v>373</v>
      </c>
      <c r="F377" s="3" t="s">
        <v>6</v>
      </c>
      <c r="G377" s="3"/>
      <c r="H377" s="6" t="s">
        <v>42</v>
      </c>
      <c r="I377" s="6" t="s">
        <v>13</v>
      </c>
      <c r="J377" s="5">
        <v>45493.782638888886</v>
      </c>
      <c r="K377" s="7">
        <f t="shared" si="5"/>
        <v>1.3888888861401938E-3</v>
      </c>
    </row>
    <row r="378" spans="1:11" x14ac:dyDescent="0.25">
      <c r="A378" s="5">
        <v>45493.836111111108</v>
      </c>
      <c r="B378" s="3" t="s">
        <v>381</v>
      </c>
      <c r="C378" s="3">
        <v>7096160001</v>
      </c>
      <c r="D378" s="3" t="s">
        <v>9</v>
      </c>
      <c r="E378" s="3" t="s">
        <v>247</v>
      </c>
      <c r="F378" s="3" t="s">
        <v>382</v>
      </c>
      <c r="G378" s="3"/>
      <c r="H378" s="6" t="s">
        <v>387</v>
      </c>
      <c r="I378" s="6" t="s">
        <v>45</v>
      </c>
      <c r="J378" s="5">
        <v>45496.416666666664</v>
      </c>
      <c r="K378" s="7">
        <f t="shared" si="5"/>
        <v>2.5805555555562023</v>
      </c>
    </row>
    <row r="379" spans="1:11" x14ac:dyDescent="0.25">
      <c r="A379" s="5">
        <v>45494.236111111109</v>
      </c>
      <c r="B379" s="3" t="s">
        <v>374</v>
      </c>
      <c r="C379" s="3">
        <v>10000000824</v>
      </c>
      <c r="D379" s="3" t="s">
        <v>9</v>
      </c>
      <c r="E379" s="3" t="s">
        <v>149</v>
      </c>
      <c r="F379" s="3" t="s">
        <v>6</v>
      </c>
      <c r="G379" s="3"/>
      <c r="H379" s="6" t="s">
        <v>42</v>
      </c>
      <c r="I379" s="6" t="s">
        <v>13</v>
      </c>
      <c r="J379" s="5">
        <v>45494.370138888888</v>
      </c>
      <c r="K379" s="7">
        <f t="shared" si="5"/>
        <v>0.13402777777810115</v>
      </c>
    </row>
    <row r="380" spans="1:11" x14ac:dyDescent="0.25">
      <c r="A380" s="5">
        <v>45494.302777777775</v>
      </c>
      <c r="B380" s="3" t="s">
        <v>375</v>
      </c>
      <c r="C380" s="3">
        <v>10000058625</v>
      </c>
      <c r="D380" s="3" t="s">
        <v>9</v>
      </c>
      <c r="E380" s="3" t="s">
        <v>41</v>
      </c>
      <c r="F380" s="3" t="s">
        <v>6</v>
      </c>
      <c r="G380" s="3"/>
      <c r="H380" s="6" t="s">
        <v>376</v>
      </c>
      <c r="I380" s="6" t="s">
        <v>14</v>
      </c>
      <c r="J380" s="5">
        <v>45494.445833333331</v>
      </c>
      <c r="K380" s="7">
        <f t="shared" si="5"/>
        <v>0.14305555555620231</v>
      </c>
    </row>
    <row r="381" spans="1:11" x14ac:dyDescent="0.25">
      <c r="A381" s="5">
        <v>45494.534722222219</v>
      </c>
      <c r="B381" s="3" t="s">
        <v>375</v>
      </c>
      <c r="C381" s="3">
        <v>10000058625</v>
      </c>
      <c r="D381" s="3" t="s">
        <v>9</v>
      </c>
      <c r="E381" s="3" t="s">
        <v>41</v>
      </c>
      <c r="F381" s="3" t="s">
        <v>6</v>
      </c>
      <c r="G381" s="3"/>
      <c r="H381" s="6" t="s">
        <v>376</v>
      </c>
      <c r="I381" s="6" t="s">
        <v>14</v>
      </c>
      <c r="J381" s="5">
        <v>45494.543749999997</v>
      </c>
      <c r="K381" s="7">
        <f t="shared" si="5"/>
        <v>9.0277777781011537E-3</v>
      </c>
    </row>
    <row r="382" spans="1:11" x14ac:dyDescent="0.25">
      <c r="A382" s="5">
        <v>45494.580555555556</v>
      </c>
      <c r="B382" s="3" t="s">
        <v>377</v>
      </c>
      <c r="C382" s="3">
        <v>10000022234</v>
      </c>
      <c r="D382" s="3" t="s">
        <v>9</v>
      </c>
      <c r="E382" s="3" t="s">
        <v>100</v>
      </c>
      <c r="F382" s="3" t="s">
        <v>6</v>
      </c>
      <c r="G382" s="3"/>
      <c r="H382" s="6" t="s">
        <v>378</v>
      </c>
      <c r="I382" s="6" t="s">
        <v>14</v>
      </c>
      <c r="J382" s="5">
        <v>45494.696527777778</v>
      </c>
      <c r="K382" s="7">
        <f t="shared" si="5"/>
        <v>0.11597222222189885</v>
      </c>
    </row>
    <row r="383" spans="1:11" x14ac:dyDescent="0.25">
      <c r="A383" s="5">
        <v>45494.719444444447</v>
      </c>
      <c r="B383" s="3" t="s">
        <v>379</v>
      </c>
      <c r="C383" s="3">
        <v>10000058625</v>
      </c>
      <c r="D383" s="3" t="s">
        <v>9</v>
      </c>
      <c r="E383" s="3" t="s">
        <v>41</v>
      </c>
      <c r="F383" s="3" t="s">
        <v>6</v>
      </c>
      <c r="G383" s="3"/>
      <c r="H383" s="6" t="s">
        <v>380</v>
      </c>
      <c r="I383" s="6" t="s">
        <v>14</v>
      </c>
      <c r="J383" s="5">
        <v>45495.143750000003</v>
      </c>
      <c r="K383" s="7">
        <f t="shared" si="5"/>
        <v>0.42430555555620231</v>
      </c>
    </row>
    <row r="384" spans="1:11" x14ac:dyDescent="0.25">
      <c r="A384" s="5">
        <v>45495.056250000001</v>
      </c>
      <c r="B384" s="3" t="s">
        <v>377</v>
      </c>
      <c r="C384" s="3">
        <v>10000022234</v>
      </c>
      <c r="D384" s="3" t="s">
        <v>9</v>
      </c>
      <c r="E384" s="3" t="s">
        <v>100</v>
      </c>
      <c r="F384" s="3" t="s">
        <v>6</v>
      </c>
      <c r="G384" s="3"/>
      <c r="H384" s="6" t="s">
        <v>378</v>
      </c>
      <c r="I384" s="6" t="s">
        <v>14</v>
      </c>
      <c r="J384" s="5">
        <v>45495.061111111114</v>
      </c>
      <c r="K384" s="7">
        <f t="shared" si="5"/>
        <v>4.8611111124046147E-3</v>
      </c>
    </row>
    <row r="385" spans="1:11" x14ac:dyDescent="0.25">
      <c r="A385" s="5">
        <v>45495.788888888892</v>
      </c>
      <c r="B385" s="3" t="s">
        <v>383</v>
      </c>
      <c r="C385" s="3">
        <v>10000058627</v>
      </c>
      <c r="D385" s="3" t="s">
        <v>9</v>
      </c>
      <c r="E385" s="3" t="s">
        <v>160</v>
      </c>
      <c r="F385" s="3" t="s">
        <v>6</v>
      </c>
      <c r="G385" s="3"/>
      <c r="H385" s="6" t="s">
        <v>384</v>
      </c>
      <c r="I385" s="6" t="s">
        <v>14</v>
      </c>
      <c r="J385" s="5">
        <v>45495.95</v>
      </c>
      <c r="K385" s="7">
        <f t="shared" si="5"/>
        <v>0.16111111110512866</v>
      </c>
    </row>
    <row r="386" spans="1:11" x14ac:dyDescent="0.25">
      <c r="A386" s="5">
        <v>45495.788888888892</v>
      </c>
      <c r="B386" s="3" t="s">
        <v>385</v>
      </c>
      <c r="C386" s="3">
        <v>7853300001</v>
      </c>
      <c r="D386" s="3" t="s">
        <v>9</v>
      </c>
      <c r="E386" s="3" t="s">
        <v>19</v>
      </c>
      <c r="F386" s="3" t="s">
        <v>6</v>
      </c>
      <c r="G386" s="3"/>
      <c r="H386" s="6" t="s">
        <v>384</v>
      </c>
      <c r="I386" s="6" t="s">
        <v>14</v>
      </c>
      <c r="J386" s="5">
        <v>45495.95</v>
      </c>
      <c r="K386" s="7">
        <f t="shared" si="5"/>
        <v>0.16111111110512866</v>
      </c>
    </row>
    <row r="387" spans="1:11" x14ac:dyDescent="0.25">
      <c r="A387" s="5">
        <v>45496.066666666666</v>
      </c>
      <c r="B387" s="3" t="s">
        <v>383</v>
      </c>
      <c r="C387" s="3">
        <v>10000058627</v>
      </c>
      <c r="D387" s="3" t="s">
        <v>9</v>
      </c>
      <c r="E387" s="3" t="s">
        <v>160</v>
      </c>
      <c r="F387" s="3" t="s">
        <v>6</v>
      </c>
      <c r="G387" s="3"/>
      <c r="H387" s="6" t="s">
        <v>384</v>
      </c>
      <c r="I387" s="6" t="s">
        <v>14</v>
      </c>
      <c r="J387" s="5">
        <v>45496.176388888889</v>
      </c>
      <c r="K387" s="7">
        <f t="shared" si="5"/>
        <v>0.10972222222335404</v>
      </c>
    </row>
    <row r="388" spans="1:11" x14ac:dyDescent="0.25">
      <c r="A388" s="5">
        <v>45496.066666666666</v>
      </c>
      <c r="B388" s="3" t="s">
        <v>385</v>
      </c>
      <c r="C388" s="3">
        <v>7853300001</v>
      </c>
      <c r="D388" s="3" t="s">
        <v>9</v>
      </c>
      <c r="E388" s="3" t="s">
        <v>19</v>
      </c>
      <c r="F388" s="3" t="s">
        <v>6</v>
      </c>
      <c r="G388" s="3"/>
      <c r="H388" s="6" t="s">
        <v>384</v>
      </c>
      <c r="I388" s="6" t="s">
        <v>14</v>
      </c>
      <c r="J388" s="5">
        <v>45496.176388888889</v>
      </c>
      <c r="K388" s="7">
        <f t="shared" si="5"/>
        <v>0.10972222222335404</v>
      </c>
    </row>
    <row r="389" spans="1:11" x14ac:dyDescent="0.25">
      <c r="A389" s="5">
        <v>45496.172222222223</v>
      </c>
      <c r="B389" s="3" t="s">
        <v>4</v>
      </c>
      <c r="C389" s="3">
        <v>7810530001</v>
      </c>
      <c r="D389" s="3" t="s">
        <v>9</v>
      </c>
      <c r="E389" s="3" t="s">
        <v>26</v>
      </c>
      <c r="F389" s="3" t="s">
        <v>6</v>
      </c>
      <c r="G389" s="3"/>
      <c r="H389" s="6" t="s">
        <v>386</v>
      </c>
      <c r="I389" s="6" t="s">
        <v>14</v>
      </c>
      <c r="J389" s="5">
        <v>45496.201388888891</v>
      </c>
      <c r="K389" s="7">
        <f t="shared" ref="K389:K452" si="6">J389-A389</f>
        <v>2.9166666667151731E-2</v>
      </c>
    </row>
    <row r="390" spans="1:11" x14ac:dyDescent="0.25">
      <c r="A390" s="5">
        <v>45496.375694444447</v>
      </c>
      <c r="B390" s="3" t="s">
        <v>383</v>
      </c>
      <c r="C390" s="3">
        <v>10000058627</v>
      </c>
      <c r="D390" s="3" t="s">
        <v>9</v>
      </c>
      <c r="E390" s="3" t="s">
        <v>160</v>
      </c>
      <c r="F390" s="3" t="s">
        <v>6</v>
      </c>
      <c r="G390" s="3"/>
      <c r="H390" s="6" t="s">
        <v>384</v>
      </c>
      <c r="I390" s="6" t="s">
        <v>14</v>
      </c>
      <c r="J390" s="5">
        <v>45496.387499999997</v>
      </c>
      <c r="K390" s="7">
        <f t="shared" si="6"/>
        <v>1.1805555550381541E-2</v>
      </c>
    </row>
    <row r="391" spans="1:11" x14ac:dyDescent="0.25">
      <c r="A391" s="5">
        <v>45496.375694444447</v>
      </c>
      <c r="B391" s="3" t="s">
        <v>385</v>
      </c>
      <c r="C391" s="3">
        <v>7853300001</v>
      </c>
      <c r="D391" s="3" t="s">
        <v>9</v>
      </c>
      <c r="E391" s="3" t="s">
        <v>19</v>
      </c>
      <c r="F391" s="3" t="s">
        <v>6</v>
      </c>
      <c r="G391" s="3"/>
      <c r="H391" s="6" t="s">
        <v>384</v>
      </c>
      <c r="I391" s="6" t="s">
        <v>14</v>
      </c>
      <c r="J391" s="5">
        <v>45496.388194444444</v>
      </c>
      <c r="K391" s="7">
        <f t="shared" si="6"/>
        <v>1.2499999997089617E-2</v>
      </c>
    </row>
    <row r="392" spans="1:11" x14ac:dyDescent="0.25">
      <c r="A392" s="5">
        <v>45496.620138888888</v>
      </c>
      <c r="B392" s="3" t="s">
        <v>4</v>
      </c>
      <c r="C392" s="3">
        <v>7800440001</v>
      </c>
      <c r="D392" s="3" t="s">
        <v>10</v>
      </c>
      <c r="E392" s="3" t="s">
        <v>50</v>
      </c>
      <c r="F392" s="3" t="s">
        <v>6</v>
      </c>
      <c r="G392" s="3"/>
      <c r="H392" s="6" t="s">
        <v>389</v>
      </c>
      <c r="I392" s="6" t="s">
        <v>14</v>
      </c>
      <c r="J392" s="5">
        <v>45496.629861111112</v>
      </c>
      <c r="K392" s="7">
        <f t="shared" si="6"/>
        <v>9.7222222248092294E-3</v>
      </c>
    </row>
    <row r="393" spans="1:11" x14ac:dyDescent="0.25">
      <c r="A393" s="5">
        <v>45496.813194444447</v>
      </c>
      <c r="B393" s="3" t="s">
        <v>4</v>
      </c>
      <c r="C393" s="3">
        <v>10000058627</v>
      </c>
      <c r="D393" s="3" t="s">
        <v>9</v>
      </c>
      <c r="E393" s="3" t="s">
        <v>160</v>
      </c>
      <c r="F393" s="3" t="s">
        <v>6</v>
      </c>
      <c r="G393" s="3"/>
      <c r="H393" s="6" t="s">
        <v>384</v>
      </c>
      <c r="I393" s="6" t="s">
        <v>14</v>
      </c>
      <c r="J393" s="5">
        <v>45496.824999999997</v>
      </c>
      <c r="K393" s="7">
        <f t="shared" si="6"/>
        <v>1.1805555550381541E-2</v>
      </c>
    </row>
    <row r="394" spans="1:11" x14ac:dyDescent="0.25">
      <c r="A394" s="5">
        <v>45496.813888888886</v>
      </c>
      <c r="B394" s="3" t="s">
        <v>390</v>
      </c>
      <c r="C394" s="3">
        <v>7853300001</v>
      </c>
      <c r="D394" s="3" t="s">
        <v>9</v>
      </c>
      <c r="E394" s="3" t="s">
        <v>19</v>
      </c>
      <c r="F394" s="3" t="s">
        <v>6</v>
      </c>
      <c r="G394" s="3"/>
      <c r="H394" s="6" t="s">
        <v>384</v>
      </c>
      <c r="I394" s="6" t="s">
        <v>14</v>
      </c>
      <c r="J394" s="5">
        <v>45496.824305555558</v>
      </c>
      <c r="K394" s="7">
        <f t="shared" si="6"/>
        <v>1.0416666671517305E-2</v>
      </c>
    </row>
    <row r="395" spans="1:11" x14ac:dyDescent="0.25">
      <c r="A395" s="5">
        <v>45496.979166666664</v>
      </c>
      <c r="B395" s="3" t="s">
        <v>4</v>
      </c>
      <c r="C395" s="3">
        <v>6999070001</v>
      </c>
      <c r="D395" s="3" t="s">
        <v>10</v>
      </c>
      <c r="E395" s="3" t="s">
        <v>86</v>
      </c>
      <c r="F395" s="3" t="s">
        <v>6</v>
      </c>
      <c r="G395" s="3"/>
      <c r="H395" s="6" t="s">
        <v>42</v>
      </c>
      <c r="I395" s="6" t="s">
        <v>13</v>
      </c>
      <c r="J395" s="5">
        <v>45497.129861111112</v>
      </c>
      <c r="K395" s="7">
        <f t="shared" si="6"/>
        <v>0.15069444444816327</v>
      </c>
    </row>
    <row r="396" spans="1:11" x14ac:dyDescent="0.25">
      <c r="A396" s="5">
        <v>45498.340277777781</v>
      </c>
      <c r="B396" s="3" t="s">
        <v>4</v>
      </c>
      <c r="C396" s="3">
        <v>10000004781</v>
      </c>
      <c r="D396" s="3" t="s">
        <v>45</v>
      </c>
      <c r="E396" s="3" t="s">
        <v>44</v>
      </c>
      <c r="F396" s="3" t="s">
        <v>6</v>
      </c>
      <c r="G396" s="3"/>
      <c r="H396" s="6" t="s">
        <v>42</v>
      </c>
      <c r="I396" s="6" t="s">
        <v>13</v>
      </c>
      <c r="J396" s="5">
        <v>45498.369444444441</v>
      </c>
      <c r="K396" s="7">
        <f t="shared" si="6"/>
        <v>2.9166666659875773E-2</v>
      </c>
    </row>
    <row r="397" spans="1:11" x14ac:dyDescent="0.25">
      <c r="A397" s="5">
        <v>45498.806250000001</v>
      </c>
      <c r="B397" s="3" t="s">
        <v>392</v>
      </c>
      <c r="C397" s="3">
        <v>10000058627</v>
      </c>
      <c r="D397" s="3" t="s">
        <v>9</v>
      </c>
      <c r="E397" s="3" t="s">
        <v>160</v>
      </c>
      <c r="F397" s="3" t="s">
        <v>6</v>
      </c>
      <c r="G397" s="3"/>
      <c r="H397" s="6" t="s">
        <v>384</v>
      </c>
      <c r="I397" s="6" t="s">
        <v>14</v>
      </c>
      <c r="J397" s="5">
        <v>45498.818055555559</v>
      </c>
      <c r="K397" s="7">
        <f t="shared" si="6"/>
        <v>1.1805555557657499E-2</v>
      </c>
    </row>
    <row r="398" spans="1:11" x14ac:dyDescent="0.25">
      <c r="A398" s="5">
        <v>45498.806944444441</v>
      </c>
      <c r="B398" s="3" t="s">
        <v>393</v>
      </c>
      <c r="C398" s="3">
        <v>7853300001</v>
      </c>
      <c r="D398" s="3" t="s">
        <v>9</v>
      </c>
      <c r="E398" s="3" t="s">
        <v>19</v>
      </c>
      <c r="F398" s="3" t="s">
        <v>6</v>
      </c>
      <c r="G398" s="3"/>
      <c r="H398" s="6" t="s">
        <v>384</v>
      </c>
      <c r="I398" s="6" t="s">
        <v>14</v>
      </c>
      <c r="J398" s="5">
        <v>45498.818055555559</v>
      </c>
      <c r="K398" s="7">
        <f t="shared" si="6"/>
        <v>1.1111111118225381E-2</v>
      </c>
    </row>
    <row r="399" spans="1:11" x14ac:dyDescent="0.25">
      <c r="A399" s="5">
        <v>45498.806944444441</v>
      </c>
      <c r="B399" s="3" t="s">
        <v>4</v>
      </c>
      <c r="C399" s="3">
        <v>10000365255</v>
      </c>
      <c r="D399" s="3" t="s">
        <v>9</v>
      </c>
      <c r="E399" s="3" t="s">
        <v>394</v>
      </c>
      <c r="F399" s="3" t="s">
        <v>6</v>
      </c>
      <c r="G399" s="3"/>
      <c r="H399" s="6" t="s">
        <v>384</v>
      </c>
      <c r="I399" s="6" t="s">
        <v>14</v>
      </c>
      <c r="J399" s="5">
        <v>45498.816666666666</v>
      </c>
      <c r="K399" s="7">
        <f t="shared" si="6"/>
        <v>9.7222222248092294E-3</v>
      </c>
    </row>
    <row r="400" spans="1:11" x14ac:dyDescent="0.25">
      <c r="A400" s="5">
        <v>45499.080555555556</v>
      </c>
      <c r="B400" s="3" t="s">
        <v>395</v>
      </c>
      <c r="C400" s="3">
        <v>10000000822</v>
      </c>
      <c r="D400" s="3" t="s">
        <v>9</v>
      </c>
      <c r="E400" s="3" t="s">
        <v>179</v>
      </c>
      <c r="F400" s="3" t="s">
        <v>6</v>
      </c>
      <c r="G400" s="3"/>
      <c r="H400" s="6" t="s">
        <v>42</v>
      </c>
      <c r="I400" s="6" t="s">
        <v>13</v>
      </c>
      <c r="J400" s="5">
        <v>45499.423611111109</v>
      </c>
      <c r="K400" s="7">
        <f t="shared" si="6"/>
        <v>0.34305555555329192</v>
      </c>
    </row>
    <row r="401" spans="1:11" x14ac:dyDescent="0.25">
      <c r="A401" s="5">
        <v>45499.84097222222</v>
      </c>
      <c r="B401" s="3" t="s">
        <v>396</v>
      </c>
      <c r="C401" s="3">
        <v>10000058627</v>
      </c>
      <c r="D401" s="3" t="s">
        <v>9</v>
      </c>
      <c r="E401" s="3" t="s">
        <v>160</v>
      </c>
      <c r="F401" s="3" t="s">
        <v>6</v>
      </c>
      <c r="G401" s="3"/>
      <c r="H401" s="6" t="s">
        <v>397</v>
      </c>
      <c r="I401" s="6" t="s">
        <v>14</v>
      </c>
      <c r="J401" s="5">
        <v>45499.883333333331</v>
      </c>
      <c r="K401" s="7">
        <f t="shared" si="6"/>
        <v>4.2361111110949423E-2</v>
      </c>
    </row>
    <row r="402" spans="1:11" x14ac:dyDescent="0.25">
      <c r="A402" s="5">
        <v>45499.841666666667</v>
      </c>
      <c r="B402" s="3" t="s">
        <v>4</v>
      </c>
      <c r="C402" s="3">
        <v>7853300001</v>
      </c>
      <c r="D402" s="3" t="s">
        <v>9</v>
      </c>
      <c r="E402" s="3" t="s">
        <v>19</v>
      </c>
      <c r="F402" s="3" t="s">
        <v>6</v>
      </c>
      <c r="G402" s="3"/>
      <c r="H402" s="6" t="s">
        <v>397</v>
      </c>
      <c r="I402" s="6" t="s">
        <v>14</v>
      </c>
      <c r="J402" s="5">
        <v>45499.883333333331</v>
      </c>
      <c r="K402" s="7">
        <f t="shared" si="6"/>
        <v>4.1666666664241347E-2</v>
      </c>
    </row>
    <row r="403" spans="1:11" x14ac:dyDescent="0.25">
      <c r="A403" s="5">
        <v>45499.841666666667</v>
      </c>
      <c r="B403" s="3" t="s">
        <v>4</v>
      </c>
      <c r="C403" s="3">
        <v>10000365255</v>
      </c>
      <c r="D403" s="3" t="s">
        <v>9</v>
      </c>
      <c r="E403" s="3" t="s">
        <v>394</v>
      </c>
      <c r="F403" s="3" t="s">
        <v>6</v>
      </c>
      <c r="G403" s="3"/>
      <c r="H403" s="6" t="s">
        <v>397</v>
      </c>
      <c r="I403" s="6" t="s">
        <v>14</v>
      </c>
      <c r="J403" s="5">
        <v>45499.882638888892</v>
      </c>
      <c r="K403" s="7">
        <f t="shared" si="6"/>
        <v>4.0972222224809229E-2</v>
      </c>
    </row>
    <row r="404" spans="1:11" x14ac:dyDescent="0.25">
      <c r="A404" s="5">
        <v>45501.216666666667</v>
      </c>
      <c r="B404" s="3" t="s">
        <v>4</v>
      </c>
      <c r="C404" s="3">
        <v>10000577752</v>
      </c>
      <c r="D404" s="3" t="s">
        <v>9</v>
      </c>
      <c r="E404" s="3" t="s">
        <v>21</v>
      </c>
      <c r="F404" s="3" t="s">
        <v>6</v>
      </c>
      <c r="G404" s="3"/>
      <c r="H404" s="6" t="s">
        <v>42</v>
      </c>
      <c r="I404" s="6" t="s">
        <v>13</v>
      </c>
      <c r="J404" s="5">
        <v>45502.808333333334</v>
      </c>
      <c r="K404" s="7">
        <f t="shared" si="6"/>
        <v>1.5916666666671517</v>
      </c>
    </row>
    <row r="405" spans="1:11" x14ac:dyDescent="0.25">
      <c r="A405" s="5">
        <v>45503.020833333336</v>
      </c>
      <c r="B405" s="3" t="s">
        <v>4</v>
      </c>
      <c r="C405" s="3">
        <v>10000081665</v>
      </c>
      <c r="D405" s="3" t="s">
        <v>10</v>
      </c>
      <c r="E405" s="3" t="s">
        <v>49</v>
      </c>
      <c r="F405" s="3" t="s">
        <v>6</v>
      </c>
      <c r="G405" s="3"/>
      <c r="H405" s="6" t="s">
        <v>398</v>
      </c>
      <c r="I405" s="6" t="s">
        <v>14</v>
      </c>
      <c r="J405" s="5">
        <v>45503.442361111112</v>
      </c>
      <c r="K405" s="7">
        <f t="shared" si="6"/>
        <v>0.42152777777664596</v>
      </c>
    </row>
    <row r="406" spans="1:11" x14ac:dyDescent="0.25">
      <c r="A406" s="5">
        <v>45503.497916666667</v>
      </c>
      <c r="B406" s="3" t="s">
        <v>4</v>
      </c>
      <c r="C406" s="3">
        <v>10000577752</v>
      </c>
      <c r="D406" s="3" t="s">
        <v>9</v>
      </c>
      <c r="E406" s="3" t="s">
        <v>21</v>
      </c>
      <c r="F406" s="3" t="s">
        <v>6</v>
      </c>
      <c r="G406" s="3"/>
      <c r="H406" s="6" t="s">
        <v>28</v>
      </c>
      <c r="I406" s="6" t="s">
        <v>13</v>
      </c>
      <c r="J406" s="5">
        <v>45503.561805555553</v>
      </c>
      <c r="K406" s="7">
        <f t="shared" si="6"/>
        <v>6.3888888886140194E-2</v>
      </c>
    </row>
    <row r="407" spans="1:11" x14ac:dyDescent="0.25">
      <c r="A407" s="5">
        <v>45504.076388888891</v>
      </c>
      <c r="B407" s="3" t="s">
        <v>4</v>
      </c>
      <c r="C407" s="3">
        <v>6998890001</v>
      </c>
      <c r="D407" s="3" t="s">
        <v>9</v>
      </c>
      <c r="E407" s="3" t="s">
        <v>318</v>
      </c>
      <c r="F407" s="3" t="s">
        <v>6</v>
      </c>
      <c r="G407" s="3"/>
      <c r="H407" s="6" t="s">
        <v>399</v>
      </c>
      <c r="I407" s="6" t="s">
        <v>14</v>
      </c>
      <c r="J407" s="5">
        <v>45504.082638888889</v>
      </c>
      <c r="K407" s="7">
        <f t="shared" si="6"/>
        <v>6.2499999985448085E-3</v>
      </c>
    </row>
    <row r="408" spans="1:11" x14ac:dyDescent="0.25">
      <c r="A408" s="5">
        <v>45504.496527777781</v>
      </c>
      <c r="B408" s="3" t="s">
        <v>4</v>
      </c>
      <c r="C408" s="3">
        <v>10000100046</v>
      </c>
      <c r="D408" s="3" t="s">
        <v>10</v>
      </c>
      <c r="E408" s="3" t="s">
        <v>64</v>
      </c>
      <c r="F408" s="3" t="s">
        <v>400</v>
      </c>
      <c r="G408" s="3"/>
      <c r="H408" s="6" t="s">
        <v>282</v>
      </c>
      <c r="I408" s="6" t="s">
        <v>14</v>
      </c>
      <c r="J408" s="5">
        <v>45504.509722222225</v>
      </c>
      <c r="K408" s="7">
        <f t="shared" si="6"/>
        <v>1.3194444443797693E-2</v>
      </c>
    </row>
    <row r="409" spans="1:11" x14ac:dyDescent="0.25">
      <c r="A409" s="5">
        <v>45504.90347222222</v>
      </c>
      <c r="B409" s="3" t="s">
        <v>4</v>
      </c>
      <c r="C409" s="3">
        <v>10000514345</v>
      </c>
      <c r="D409" s="3" t="s">
        <v>9</v>
      </c>
      <c r="E409" s="3" t="s">
        <v>11</v>
      </c>
      <c r="F409" s="3" t="s">
        <v>6</v>
      </c>
      <c r="G409" s="3"/>
      <c r="H409" s="6" t="s">
        <v>28</v>
      </c>
      <c r="I409" s="6" t="s">
        <v>13</v>
      </c>
      <c r="J409" s="5">
        <v>45504.90625</v>
      </c>
      <c r="K409" s="7">
        <f t="shared" si="6"/>
        <v>2.7777777795563452E-3</v>
      </c>
    </row>
    <row r="410" spans="1:11" x14ac:dyDescent="0.25">
      <c r="A410" s="5">
        <v>45504.907638888886</v>
      </c>
      <c r="B410" s="3" t="s">
        <v>4</v>
      </c>
      <c r="C410" s="3">
        <v>10000577752</v>
      </c>
      <c r="D410" s="3" t="s">
        <v>9</v>
      </c>
      <c r="E410" s="3" t="s">
        <v>21</v>
      </c>
      <c r="F410" s="3" t="s">
        <v>6</v>
      </c>
      <c r="G410" s="3"/>
      <c r="H410" s="6" t="s">
        <v>28</v>
      </c>
      <c r="I410" s="6" t="s">
        <v>13</v>
      </c>
      <c r="J410" s="5">
        <v>45504.920138888891</v>
      </c>
      <c r="K410" s="7">
        <f t="shared" si="6"/>
        <v>1.2500000004365575E-2</v>
      </c>
    </row>
    <row r="411" spans="1:11" x14ac:dyDescent="0.25">
      <c r="A411" s="5">
        <v>45504.976388888892</v>
      </c>
      <c r="B411" s="3" t="s">
        <v>4</v>
      </c>
      <c r="C411" s="3">
        <v>6999070001</v>
      </c>
      <c r="D411" s="3" t="s">
        <v>10</v>
      </c>
      <c r="E411" s="3" t="s">
        <v>86</v>
      </c>
      <c r="F411" s="3" t="s">
        <v>6</v>
      </c>
      <c r="G411" s="3"/>
      <c r="H411" s="6" t="s">
        <v>28</v>
      </c>
      <c r="I411" s="6" t="s">
        <v>13</v>
      </c>
      <c r="J411" s="5">
        <v>45505.072222222225</v>
      </c>
      <c r="K411" s="7">
        <f t="shared" si="6"/>
        <v>9.5833333332848269E-2</v>
      </c>
    </row>
    <row r="412" spans="1:11" x14ac:dyDescent="0.25">
      <c r="A412" s="5">
        <v>45504.986111111109</v>
      </c>
      <c r="B412" s="3" t="s">
        <v>401</v>
      </c>
      <c r="C412" s="3">
        <v>6998930001</v>
      </c>
      <c r="D412" s="3" t="s">
        <v>9</v>
      </c>
      <c r="E412" s="3" t="s">
        <v>155</v>
      </c>
      <c r="F412" s="3" t="s">
        <v>6</v>
      </c>
      <c r="G412" s="3"/>
      <c r="H412" s="6" t="s">
        <v>402</v>
      </c>
      <c r="I412" s="6" t="s">
        <v>14</v>
      </c>
      <c r="J412" s="5">
        <v>45506.793749999997</v>
      </c>
      <c r="K412" s="7">
        <f t="shared" si="6"/>
        <v>1.8076388888875954</v>
      </c>
    </row>
    <row r="413" spans="1:11" x14ac:dyDescent="0.25">
      <c r="A413" s="5">
        <v>45505.033333333333</v>
      </c>
      <c r="B413" s="3" t="s">
        <v>4</v>
      </c>
      <c r="C413" s="3">
        <v>10000577752</v>
      </c>
      <c r="D413" s="3" t="s">
        <v>9</v>
      </c>
      <c r="E413" s="3" t="s">
        <v>21</v>
      </c>
      <c r="F413" s="3" t="s">
        <v>6</v>
      </c>
      <c r="G413" s="3"/>
      <c r="H413" s="6" t="s">
        <v>28</v>
      </c>
      <c r="I413" s="6" t="s">
        <v>13</v>
      </c>
      <c r="J413" s="5">
        <v>45505.061805555553</v>
      </c>
      <c r="K413" s="7">
        <f t="shared" si="6"/>
        <v>2.8472222220443655E-2</v>
      </c>
    </row>
    <row r="414" spans="1:11" x14ac:dyDescent="0.25">
      <c r="A414" s="5">
        <v>45505.167361111111</v>
      </c>
      <c r="B414" s="3" t="s">
        <v>4</v>
      </c>
      <c r="C414" s="3">
        <v>10000081665</v>
      </c>
      <c r="D414" s="3" t="s">
        <v>10</v>
      </c>
      <c r="E414" s="3" t="s">
        <v>49</v>
      </c>
      <c r="F414" s="3" t="s">
        <v>38</v>
      </c>
      <c r="G414" s="3"/>
      <c r="H414" s="6" t="s">
        <v>403</v>
      </c>
      <c r="I414" s="6" t="s">
        <v>14</v>
      </c>
      <c r="J414" s="5">
        <v>45505.202777777777</v>
      </c>
      <c r="K414" s="7">
        <f t="shared" si="6"/>
        <v>3.5416666665696539E-2</v>
      </c>
    </row>
    <row r="415" spans="1:11" x14ac:dyDescent="0.25">
      <c r="A415" s="5">
        <v>45505.236805555556</v>
      </c>
      <c r="B415" s="3" t="s">
        <v>4</v>
      </c>
      <c r="C415" s="3">
        <v>10000000822</v>
      </c>
      <c r="D415" s="3" t="s">
        <v>9</v>
      </c>
      <c r="E415" s="3" t="s">
        <v>179</v>
      </c>
      <c r="F415" s="3" t="s">
        <v>6</v>
      </c>
      <c r="G415" s="3"/>
      <c r="H415" s="6" t="s">
        <v>28</v>
      </c>
      <c r="I415" s="6" t="s">
        <v>13</v>
      </c>
      <c r="J415" s="5">
        <v>45505.263888888891</v>
      </c>
      <c r="K415" s="7">
        <f t="shared" si="6"/>
        <v>2.7083333334303461E-2</v>
      </c>
    </row>
    <row r="416" spans="1:11" x14ac:dyDescent="0.25">
      <c r="A416" s="5">
        <v>45505.300694444442</v>
      </c>
      <c r="B416" s="3" t="s">
        <v>4</v>
      </c>
      <c r="C416" s="3">
        <v>10000004780</v>
      </c>
      <c r="D416" s="3" t="s">
        <v>45</v>
      </c>
      <c r="E416" s="3" t="s">
        <v>404</v>
      </c>
      <c r="F416" s="3" t="s">
        <v>6</v>
      </c>
      <c r="G416" s="3"/>
      <c r="H416" s="6" t="s">
        <v>28</v>
      </c>
      <c r="I416" s="6" t="s">
        <v>13</v>
      </c>
      <c r="J416" s="5">
        <v>45505.301388888889</v>
      </c>
      <c r="K416" s="7">
        <f t="shared" si="6"/>
        <v>6.944444467080757E-4</v>
      </c>
    </row>
    <row r="417" spans="1:11" x14ac:dyDescent="0.25">
      <c r="A417" s="5">
        <v>45505.363194444442</v>
      </c>
      <c r="B417" s="3" t="s">
        <v>4</v>
      </c>
      <c r="C417" s="3">
        <v>10000011130</v>
      </c>
      <c r="D417" s="3" t="s">
        <v>17</v>
      </c>
      <c r="E417" s="3" t="s">
        <v>15</v>
      </c>
      <c r="F417" s="3" t="s">
        <v>6</v>
      </c>
      <c r="G417" s="3"/>
      <c r="H417" s="6" t="s">
        <v>199</v>
      </c>
      <c r="I417" s="6" t="s">
        <v>13</v>
      </c>
      <c r="J417" s="5">
        <v>45507.306944444441</v>
      </c>
      <c r="K417" s="7">
        <f t="shared" si="6"/>
        <v>1.9437499999985448</v>
      </c>
    </row>
    <row r="418" spans="1:11" x14ac:dyDescent="0.25">
      <c r="A418" s="5">
        <v>45505.42083333333</v>
      </c>
      <c r="B418" s="3" t="s">
        <v>4</v>
      </c>
      <c r="C418" s="3">
        <v>10000081665</v>
      </c>
      <c r="D418" s="3" t="s">
        <v>10</v>
      </c>
      <c r="E418" s="3" t="s">
        <v>49</v>
      </c>
      <c r="F418" s="3" t="s">
        <v>38</v>
      </c>
      <c r="G418" s="3"/>
      <c r="H418" s="6" t="s">
        <v>403</v>
      </c>
      <c r="I418" s="6" t="s">
        <v>14</v>
      </c>
      <c r="J418" s="5">
        <v>45505.422222222223</v>
      </c>
      <c r="K418" s="7">
        <f t="shared" si="6"/>
        <v>1.3888888934161514E-3</v>
      </c>
    </row>
    <row r="419" spans="1:11" x14ac:dyDescent="0.25">
      <c r="A419" s="5">
        <v>45505.42083333333</v>
      </c>
      <c r="B419" s="3" t="s">
        <v>4</v>
      </c>
      <c r="C419" s="3">
        <v>10000514345</v>
      </c>
      <c r="D419" s="3" t="s">
        <v>9</v>
      </c>
      <c r="E419" s="3" t="s">
        <v>11</v>
      </c>
      <c r="F419" s="3" t="s">
        <v>6</v>
      </c>
      <c r="G419" s="3"/>
      <c r="H419" s="6" t="s">
        <v>28</v>
      </c>
      <c r="I419" s="6" t="s">
        <v>13</v>
      </c>
      <c r="J419" s="5">
        <v>45505.426388888889</v>
      </c>
      <c r="K419" s="7">
        <f t="shared" si="6"/>
        <v>5.5555555591126904E-3</v>
      </c>
    </row>
    <row r="420" spans="1:11" x14ac:dyDescent="0.25">
      <c r="A420" s="5">
        <v>45505.421527777777</v>
      </c>
      <c r="B420" s="3" t="s">
        <v>4</v>
      </c>
      <c r="C420" s="3">
        <v>10000365255</v>
      </c>
      <c r="D420" s="3" t="s">
        <v>9</v>
      </c>
      <c r="E420" s="3" t="s">
        <v>394</v>
      </c>
      <c r="F420" s="3" t="s">
        <v>6</v>
      </c>
      <c r="G420" s="3"/>
      <c r="H420" s="6" t="s">
        <v>28</v>
      </c>
      <c r="I420" s="6" t="s">
        <v>13</v>
      </c>
      <c r="J420" s="5">
        <v>45505.424305555556</v>
      </c>
      <c r="K420" s="7">
        <f t="shared" si="6"/>
        <v>2.7777777795563452E-3</v>
      </c>
    </row>
    <row r="421" spans="1:11" x14ac:dyDescent="0.25">
      <c r="A421" s="5">
        <v>45505.432638888888</v>
      </c>
      <c r="B421" s="3" t="s">
        <v>4</v>
      </c>
      <c r="C421" s="3">
        <v>10000577752</v>
      </c>
      <c r="D421" s="3" t="s">
        <v>9</v>
      </c>
      <c r="E421" s="3" t="s">
        <v>21</v>
      </c>
      <c r="F421" s="3" t="s">
        <v>6</v>
      </c>
      <c r="G421" s="3"/>
      <c r="H421" s="6" t="s">
        <v>28</v>
      </c>
      <c r="I421" s="6" t="s">
        <v>13</v>
      </c>
      <c r="J421" s="5">
        <v>45505.71875</v>
      </c>
      <c r="K421" s="7">
        <f t="shared" si="6"/>
        <v>0.28611111111240461</v>
      </c>
    </row>
    <row r="422" spans="1:11" x14ac:dyDescent="0.25">
      <c r="A422" s="5">
        <v>45505.440972222219</v>
      </c>
      <c r="B422" s="3" t="s">
        <v>4</v>
      </c>
      <c r="C422" s="3">
        <v>10000344647</v>
      </c>
      <c r="D422" s="3" t="s">
        <v>9</v>
      </c>
      <c r="E422" s="3" t="s">
        <v>349</v>
      </c>
      <c r="F422" s="3" t="s">
        <v>6</v>
      </c>
      <c r="G422" s="3"/>
      <c r="H422" s="6" t="s">
        <v>28</v>
      </c>
      <c r="I422" s="6" t="s">
        <v>13</v>
      </c>
      <c r="J422" s="5">
        <v>45505.499305555553</v>
      </c>
      <c r="K422" s="7">
        <f t="shared" si="6"/>
        <v>5.8333333334303461E-2</v>
      </c>
    </row>
    <row r="423" spans="1:11" x14ac:dyDescent="0.25">
      <c r="A423" s="5">
        <v>45505.441666666666</v>
      </c>
      <c r="B423" s="3" t="s">
        <v>405</v>
      </c>
      <c r="C423" s="3">
        <v>10000081665</v>
      </c>
      <c r="D423" s="3" t="s">
        <v>10</v>
      </c>
      <c r="E423" s="3" t="s">
        <v>49</v>
      </c>
      <c r="F423" s="3" t="s">
        <v>38</v>
      </c>
      <c r="G423" s="3"/>
      <c r="H423" s="6" t="s">
        <v>403</v>
      </c>
      <c r="I423" s="6" t="s">
        <v>14</v>
      </c>
      <c r="J423" s="5">
        <v>45505.525000000001</v>
      </c>
      <c r="K423" s="7">
        <f t="shared" si="6"/>
        <v>8.3333333335758653E-2</v>
      </c>
    </row>
    <row r="424" spans="1:11" x14ac:dyDescent="0.25">
      <c r="A424" s="5">
        <v>45505.479861111111</v>
      </c>
      <c r="B424" s="3" t="s">
        <v>4</v>
      </c>
      <c r="C424" s="3">
        <v>10000514345</v>
      </c>
      <c r="D424" s="3" t="s">
        <v>9</v>
      </c>
      <c r="E424" s="3" t="s">
        <v>11</v>
      </c>
      <c r="F424" s="3" t="s">
        <v>6</v>
      </c>
      <c r="G424" s="3"/>
      <c r="H424" s="6" t="s">
        <v>406</v>
      </c>
      <c r="I424" s="6" t="s">
        <v>45</v>
      </c>
      <c r="J424" s="5">
        <v>45505.481944444444</v>
      </c>
      <c r="K424" s="7">
        <f t="shared" si="6"/>
        <v>2.0833333328482695E-3</v>
      </c>
    </row>
    <row r="425" spans="1:11" x14ac:dyDescent="0.25">
      <c r="A425" s="5">
        <v>45505.493750000001</v>
      </c>
      <c r="B425" s="3" t="s">
        <v>4</v>
      </c>
      <c r="C425" s="3">
        <v>10000514345</v>
      </c>
      <c r="D425" s="3" t="s">
        <v>9</v>
      </c>
      <c r="E425" s="3" t="s">
        <v>11</v>
      </c>
      <c r="F425" s="3" t="s">
        <v>6</v>
      </c>
      <c r="G425" s="3"/>
      <c r="H425" s="6" t="s">
        <v>406</v>
      </c>
      <c r="I425" s="6" t="s">
        <v>45</v>
      </c>
      <c r="J425" s="5">
        <v>45505.50277777778</v>
      </c>
      <c r="K425" s="7">
        <f t="shared" si="6"/>
        <v>9.0277777781011537E-3</v>
      </c>
    </row>
    <row r="426" spans="1:11" x14ac:dyDescent="0.25">
      <c r="A426" s="5">
        <v>45505.518055555556</v>
      </c>
      <c r="B426" s="3" t="s">
        <v>427</v>
      </c>
      <c r="C426" s="3">
        <v>7808270001</v>
      </c>
      <c r="D426" s="3" t="s">
        <v>9</v>
      </c>
      <c r="E426" s="3" t="s">
        <v>37</v>
      </c>
      <c r="F426" s="3" t="s">
        <v>6</v>
      </c>
      <c r="G426" s="3"/>
      <c r="H426" s="6" t="s">
        <v>435</v>
      </c>
      <c r="I426" s="6" t="s">
        <v>45</v>
      </c>
      <c r="J426" s="5">
        <v>45512.9</v>
      </c>
      <c r="K426" s="7">
        <f t="shared" si="6"/>
        <v>7.3819444444452529</v>
      </c>
    </row>
    <row r="427" spans="1:11" x14ac:dyDescent="0.25">
      <c r="A427" s="5">
        <v>45505.527777777781</v>
      </c>
      <c r="B427" s="3" t="s">
        <v>4</v>
      </c>
      <c r="C427" s="3">
        <v>10000004781</v>
      </c>
      <c r="D427" s="3" t="s">
        <v>45</v>
      </c>
      <c r="E427" s="3" t="s">
        <v>44</v>
      </c>
      <c r="F427" s="3" t="s">
        <v>6</v>
      </c>
      <c r="G427" s="3"/>
      <c r="H427" s="6" t="s">
        <v>406</v>
      </c>
      <c r="I427" s="6" t="s">
        <v>45</v>
      </c>
      <c r="J427" s="5">
        <v>45505.533333333333</v>
      </c>
      <c r="K427" s="7">
        <f t="shared" si="6"/>
        <v>5.5555555518367328E-3</v>
      </c>
    </row>
    <row r="428" spans="1:11" x14ac:dyDescent="0.25">
      <c r="A428" s="5">
        <v>45505.52847222222</v>
      </c>
      <c r="B428" s="3" t="s">
        <v>4</v>
      </c>
      <c r="C428" s="3">
        <v>10000009996</v>
      </c>
      <c r="D428" s="3" t="s">
        <v>9</v>
      </c>
      <c r="E428" s="3" t="s">
        <v>92</v>
      </c>
      <c r="F428" s="3" t="s">
        <v>6</v>
      </c>
      <c r="G428" s="3"/>
      <c r="H428" s="6" t="s">
        <v>406</v>
      </c>
      <c r="I428" s="6" t="s">
        <v>45</v>
      </c>
      <c r="J428" s="5">
        <v>45505.538194444445</v>
      </c>
      <c r="K428" s="7">
        <f t="shared" si="6"/>
        <v>9.7222222248092294E-3</v>
      </c>
    </row>
    <row r="429" spans="1:11" x14ac:dyDescent="0.25">
      <c r="A429" s="5">
        <v>45505.529166666667</v>
      </c>
      <c r="B429" s="3" t="s">
        <v>4</v>
      </c>
      <c r="C429" s="3">
        <v>10000365255</v>
      </c>
      <c r="D429" s="3" t="s">
        <v>9</v>
      </c>
      <c r="E429" s="3" t="s">
        <v>394</v>
      </c>
      <c r="F429" s="3" t="s">
        <v>6</v>
      </c>
      <c r="G429" s="3"/>
      <c r="H429" s="6" t="s">
        <v>406</v>
      </c>
      <c r="I429" s="6" t="s">
        <v>45</v>
      </c>
      <c r="J429" s="5">
        <v>45505.538888888892</v>
      </c>
      <c r="K429" s="7">
        <f t="shared" si="6"/>
        <v>9.7222222248092294E-3</v>
      </c>
    </row>
    <row r="430" spans="1:11" x14ac:dyDescent="0.25">
      <c r="A430" s="5">
        <v>45505.529861111114</v>
      </c>
      <c r="B430" s="3" t="s">
        <v>4</v>
      </c>
      <c r="C430" s="3">
        <v>10000347457</v>
      </c>
      <c r="D430" s="3" t="s">
        <v>9</v>
      </c>
      <c r="E430" s="3" t="s">
        <v>93</v>
      </c>
      <c r="F430" s="3" t="s">
        <v>6</v>
      </c>
      <c r="G430" s="3"/>
      <c r="H430" s="6" t="s">
        <v>406</v>
      </c>
      <c r="I430" s="6" t="s">
        <v>45</v>
      </c>
      <c r="J430" s="5">
        <v>45505.539583333331</v>
      </c>
      <c r="K430" s="7">
        <f t="shared" si="6"/>
        <v>9.7222222175332718E-3</v>
      </c>
    </row>
    <row r="431" spans="1:11" x14ac:dyDescent="0.25">
      <c r="A431" s="5">
        <v>45505.54583333333</v>
      </c>
      <c r="B431" s="3" t="s">
        <v>4</v>
      </c>
      <c r="C431" s="3">
        <v>10000009996</v>
      </c>
      <c r="D431" s="3" t="s">
        <v>9</v>
      </c>
      <c r="E431" s="3" t="s">
        <v>92</v>
      </c>
      <c r="F431" s="3" t="s">
        <v>6</v>
      </c>
      <c r="G431" s="3"/>
      <c r="H431" s="6" t="s">
        <v>406</v>
      </c>
      <c r="I431" s="6" t="s">
        <v>45</v>
      </c>
      <c r="J431" s="5">
        <v>45505.559027777781</v>
      </c>
      <c r="K431" s="7">
        <f t="shared" si="6"/>
        <v>1.319444445107365E-2</v>
      </c>
    </row>
    <row r="432" spans="1:11" x14ac:dyDescent="0.25">
      <c r="A432" s="5">
        <v>45505.548611111109</v>
      </c>
      <c r="B432" s="3" t="s">
        <v>4</v>
      </c>
      <c r="C432" s="3">
        <v>10000004781</v>
      </c>
      <c r="D432" s="3" t="s">
        <v>45</v>
      </c>
      <c r="E432" s="3" t="s">
        <v>44</v>
      </c>
      <c r="F432" s="3" t="s">
        <v>6</v>
      </c>
      <c r="G432" s="3"/>
      <c r="H432" s="6" t="s">
        <v>406</v>
      </c>
      <c r="I432" s="6" t="s">
        <v>45</v>
      </c>
      <c r="J432" s="5">
        <v>45505.557638888888</v>
      </c>
      <c r="K432" s="7">
        <f t="shared" si="6"/>
        <v>9.0277777781011537E-3</v>
      </c>
    </row>
    <row r="433" spans="1:11" x14ac:dyDescent="0.25">
      <c r="A433" s="5">
        <v>45505.55</v>
      </c>
      <c r="B433" s="3" t="s">
        <v>4</v>
      </c>
      <c r="C433" s="3">
        <v>10000365255</v>
      </c>
      <c r="D433" s="3" t="s">
        <v>9</v>
      </c>
      <c r="E433" s="3" t="s">
        <v>394</v>
      </c>
      <c r="F433" s="3" t="s">
        <v>6</v>
      </c>
      <c r="G433" s="3"/>
      <c r="H433" s="6" t="s">
        <v>406</v>
      </c>
      <c r="I433" s="6" t="s">
        <v>45</v>
      </c>
      <c r="J433" s="5">
        <v>45505.55972222222</v>
      </c>
      <c r="K433" s="7">
        <f t="shared" si="6"/>
        <v>9.7222222175332718E-3</v>
      </c>
    </row>
    <row r="434" spans="1:11" x14ac:dyDescent="0.25">
      <c r="A434" s="5">
        <v>45505.555555555555</v>
      </c>
      <c r="B434" s="3" t="s">
        <v>4</v>
      </c>
      <c r="C434" s="3">
        <v>10000344647</v>
      </c>
      <c r="D434" s="3" t="s">
        <v>9</v>
      </c>
      <c r="E434" s="3" t="s">
        <v>349</v>
      </c>
      <c r="F434" s="3" t="s">
        <v>6</v>
      </c>
      <c r="G434" s="3"/>
      <c r="H434" s="6" t="s">
        <v>406</v>
      </c>
      <c r="I434" s="6" t="s">
        <v>45</v>
      </c>
      <c r="J434" s="5">
        <v>45505.557638888888</v>
      </c>
      <c r="K434" s="7">
        <f t="shared" si="6"/>
        <v>2.0833333328482695E-3</v>
      </c>
    </row>
    <row r="435" spans="1:11" x14ac:dyDescent="0.25">
      <c r="A435" s="5">
        <v>45505.556250000001</v>
      </c>
      <c r="B435" s="3" t="s">
        <v>4</v>
      </c>
      <c r="C435" s="3">
        <v>10000058627</v>
      </c>
      <c r="D435" s="3" t="s">
        <v>9</v>
      </c>
      <c r="E435" s="3" t="s">
        <v>160</v>
      </c>
      <c r="F435" s="3" t="s">
        <v>6</v>
      </c>
      <c r="G435" s="3"/>
      <c r="H435" s="6" t="s">
        <v>407</v>
      </c>
      <c r="I435" s="6" t="s">
        <v>14</v>
      </c>
      <c r="J435" s="5">
        <v>45505.561111111114</v>
      </c>
      <c r="K435" s="7">
        <f t="shared" si="6"/>
        <v>4.8611111124046147E-3</v>
      </c>
    </row>
    <row r="436" spans="1:11" x14ac:dyDescent="0.25">
      <c r="A436" s="5">
        <v>45505.556944444441</v>
      </c>
      <c r="B436" s="3" t="s">
        <v>4</v>
      </c>
      <c r="C436" s="3">
        <v>7853300001</v>
      </c>
      <c r="D436" s="3" t="s">
        <v>9</v>
      </c>
      <c r="E436" s="3" t="s">
        <v>19</v>
      </c>
      <c r="F436" s="3" t="s">
        <v>6</v>
      </c>
      <c r="G436" s="3"/>
      <c r="H436" s="6" t="s">
        <v>407</v>
      </c>
      <c r="I436" s="6" t="s">
        <v>14</v>
      </c>
      <c r="J436" s="5">
        <v>45505.560416666667</v>
      </c>
      <c r="K436" s="7">
        <f t="shared" si="6"/>
        <v>3.4722222262644209E-3</v>
      </c>
    </row>
    <row r="437" spans="1:11" x14ac:dyDescent="0.25">
      <c r="A437" s="5">
        <v>45505.557638888888</v>
      </c>
      <c r="B437" s="3" t="s">
        <v>4</v>
      </c>
      <c r="C437" s="3">
        <v>10000347457</v>
      </c>
      <c r="D437" s="3" t="s">
        <v>9</v>
      </c>
      <c r="E437" s="3" t="s">
        <v>93</v>
      </c>
      <c r="F437" s="3" t="s">
        <v>6</v>
      </c>
      <c r="G437" s="3"/>
      <c r="H437" s="6" t="s">
        <v>406</v>
      </c>
      <c r="I437" s="6" t="s">
        <v>45</v>
      </c>
      <c r="J437" s="5">
        <v>45505.654166666667</v>
      </c>
      <c r="K437" s="7">
        <f t="shared" si="6"/>
        <v>9.6527777779556345E-2</v>
      </c>
    </row>
    <row r="438" spans="1:11" x14ac:dyDescent="0.25">
      <c r="A438" s="5">
        <v>45505.559027777781</v>
      </c>
      <c r="B438" s="3" t="s">
        <v>4</v>
      </c>
      <c r="C438" s="3">
        <v>10000569832</v>
      </c>
      <c r="D438" s="3" t="s">
        <v>10</v>
      </c>
      <c r="E438" s="3" t="s">
        <v>112</v>
      </c>
      <c r="F438" s="3" t="s">
        <v>6</v>
      </c>
      <c r="G438" s="3"/>
      <c r="H438" s="6" t="s">
        <v>408</v>
      </c>
      <c r="I438" s="6" t="s">
        <v>45</v>
      </c>
      <c r="J438" s="5">
        <v>45505.564583333333</v>
      </c>
      <c r="K438" s="7">
        <f t="shared" si="6"/>
        <v>5.5555555518367328E-3</v>
      </c>
    </row>
    <row r="439" spans="1:11" x14ac:dyDescent="0.25">
      <c r="A439" s="5">
        <v>45505.559027777781</v>
      </c>
      <c r="B439" s="3" t="s">
        <v>4</v>
      </c>
      <c r="C439" s="3">
        <v>10000100046</v>
      </c>
      <c r="D439" s="3" t="s">
        <v>10</v>
      </c>
      <c r="E439" s="3" t="s">
        <v>64</v>
      </c>
      <c r="F439" s="3" t="s">
        <v>400</v>
      </c>
      <c r="G439" s="3"/>
      <c r="H439" s="6" t="s">
        <v>408</v>
      </c>
      <c r="I439" s="6" t="s">
        <v>45</v>
      </c>
      <c r="J439" s="5">
        <v>45505.572222222225</v>
      </c>
      <c r="K439" s="7">
        <f t="shared" si="6"/>
        <v>1.3194444443797693E-2</v>
      </c>
    </row>
    <row r="440" spans="1:11" x14ac:dyDescent="0.25">
      <c r="A440" s="5">
        <v>45505.582638888889</v>
      </c>
      <c r="B440" s="3" t="s">
        <v>4</v>
      </c>
      <c r="C440" s="3">
        <v>10000450331</v>
      </c>
      <c r="D440" s="3" t="s">
        <v>9</v>
      </c>
      <c r="E440" s="3" t="s">
        <v>217</v>
      </c>
      <c r="F440" s="3" t="s">
        <v>6</v>
      </c>
      <c r="G440" s="3"/>
      <c r="H440" s="6" t="s">
        <v>409</v>
      </c>
      <c r="I440" s="6" t="s">
        <v>14</v>
      </c>
      <c r="J440" s="5">
        <v>45505.691666666666</v>
      </c>
      <c r="K440" s="7">
        <f t="shared" si="6"/>
        <v>0.10902777777664596</v>
      </c>
    </row>
    <row r="441" spans="1:11" x14ac:dyDescent="0.25">
      <c r="A441" s="5">
        <v>45505.594444444447</v>
      </c>
      <c r="B441" s="3" t="s">
        <v>4</v>
      </c>
      <c r="C441" s="3">
        <v>10000009996</v>
      </c>
      <c r="D441" s="3" t="s">
        <v>9</v>
      </c>
      <c r="E441" s="3" t="s">
        <v>92</v>
      </c>
      <c r="F441" s="3" t="s">
        <v>6</v>
      </c>
      <c r="G441" s="3"/>
      <c r="H441" s="6" t="s">
        <v>406</v>
      </c>
      <c r="I441" s="6" t="s">
        <v>45</v>
      </c>
      <c r="J441" s="5">
        <v>45505.628472222219</v>
      </c>
      <c r="K441" s="7">
        <f t="shared" si="6"/>
        <v>3.4027777772280388E-2</v>
      </c>
    </row>
    <row r="442" spans="1:11" x14ac:dyDescent="0.25">
      <c r="A442" s="5">
        <v>45505.595138888886</v>
      </c>
      <c r="B442" s="3" t="s">
        <v>4</v>
      </c>
      <c r="C442" s="3">
        <v>10000365255</v>
      </c>
      <c r="D442" s="3" t="s">
        <v>9</v>
      </c>
      <c r="E442" s="3" t="s">
        <v>394</v>
      </c>
      <c r="F442" s="3" t="s">
        <v>6</v>
      </c>
      <c r="G442" s="3"/>
      <c r="H442" s="6" t="s">
        <v>406</v>
      </c>
      <c r="I442" s="6" t="s">
        <v>45</v>
      </c>
      <c r="J442" s="5">
        <v>45505.70416666667</v>
      </c>
      <c r="K442" s="7">
        <f t="shared" si="6"/>
        <v>0.10902777778392192</v>
      </c>
    </row>
    <row r="443" spans="1:11" x14ac:dyDescent="0.25">
      <c r="A443" s="5">
        <v>45505.597222222219</v>
      </c>
      <c r="B443" s="3" t="s">
        <v>4</v>
      </c>
      <c r="C443" s="3">
        <v>10000004781</v>
      </c>
      <c r="D443" s="3" t="s">
        <v>45</v>
      </c>
      <c r="E443" s="3" t="s">
        <v>44</v>
      </c>
      <c r="F443" s="3" t="s">
        <v>6</v>
      </c>
      <c r="G443" s="3"/>
      <c r="H443" s="6" t="s">
        <v>406</v>
      </c>
      <c r="I443" s="6" t="s">
        <v>45</v>
      </c>
      <c r="J443" s="5">
        <v>45505.623611111114</v>
      </c>
      <c r="K443" s="7">
        <f t="shared" si="6"/>
        <v>2.6388888894871343E-2</v>
      </c>
    </row>
    <row r="444" spans="1:11" x14ac:dyDescent="0.25">
      <c r="A444" s="5">
        <v>45505.604861111111</v>
      </c>
      <c r="B444" s="3" t="s">
        <v>4</v>
      </c>
      <c r="C444" s="3">
        <v>10000058627</v>
      </c>
      <c r="D444" s="3" t="s">
        <v>9</v>
      </c>
      <c r="E444" s="3" t="s">
        <v>160</v>
      </c>
      <c r="F444" s="3" t="s">
        <v>6</v>
      </c>
      <c r="G444" s="3"/>
      <c r="H444" s="6" t="s">
        <v>407</v>
      </c>
      <c r="I444" s="6" t="s">
        <v>14</v>
      </c>
      <c r="J444" s="5">
        <v>45505.706944444442</v>
      </c>
      <c r="K444" s="7">
        <f t="shared" si="6"/>
        <v>0.10208333333139308</v>
      </c>
    </row>
    <row r="445" spans="1:11" x14ac:dyDescent="0.25">
      <c r="A445" s="5">
        <v>45505.605555555558</v>
      </c>
      <c r="B445" s="3" t="s">
        <v>4</v>
      </c>
      <c r="C445" s="3">
        <v>7853300001</v>
      </c>
      <c r="D445" s="3" t="s">
        <v>9</v>
      </c>
      <c r="E445" s="3" t="s">
        <v>19</v>
      </c>
      <c r="F445" s="3" t="s">
        <v>6</v>
      </c>
      <c r="G445" s="3"/>
      <c r="H445" s="6" t="s">
        <v>407</v>
      </c>
      <c r="I445" s="6" t="s">
        <v>14</v>
      </c>
      <c r="J445" s="5">
        <v>45505.704861111109</v>
      </c>
      <c r="K445" s="7">
        <f t="shared" si="6"/>
        <v>9.9305555551836733E-2</v>
      </c>
    </row>
    <row r="446" spans="1:11" x14ac:dyDescent="0.25">
      <c r="A446" s="5">
        <v>45505.607638888891</v>
      </c>
      <c r="B446" s="3" t="s">
        <v>4</v>
      </c>
      <c r="C446" s="3">
        <v>10000344647</v>
      </c>
      <c r="D446" s="3" t="s">
        <v>9</v>
      </c>
      <c r="E446" s="3" t="s">
        <v>349</v>
      </c>
      <c r="F446" s="3" t="s">
        <v>6</v>
      </c>
      <c r="G446" s="3"/>
      <c r="H446" s="6" t="s">
        <v>406</v>
      </c>
      <c r="I446" s="6" t="s">
        <v>45</v>
      </c>
      <c r="J446" s="5">
        <v>45506.408333333333</v>
      </c>
      <c r="K446" s="7">
        <f t="shared" si="6"/>
        <v>0.8006944444423425</v>
      </c>
    </row>
    <row r="447" spans="1:11" x14ac:dyDescent="0.25">
      <c r="A447" s="5">
        <v>45505.60833333333</v>
      </c>
      <c r="B447" s="3" t="s">
        <v>410</v>
      </c>
      <c r="C447" s="3">
        <v>10000000822</v>
      </c>
      <c r="D447" s="3" t="s">
        <v>9</v>
      </c>
      <c r="E447" s="3" t="s">
        <v>179</v>
      </c>
      <c r="F447" s="3" t="s">
        <v>6</v>
      </c>
      <c r="G447" s="3"/>
      <c r="H447" s="6" t="s">
        <v>411</v>
      </c>
      <c r="I447" s="6" t="s">
        <v>45</v>
      </c>
      <c r="J447" s="5">
        <v>45505.878472222219</v>
      </c>
      <c r="K447" s="7">
        <f t="shared" si="6"/>
        <v>0.27013888888905058</v>
      </c>
    </row>
    <row r="448" spans="1:11" x14ac:dyDescent="0.25">
      <c r="A448" s="5">
        <v>45505.696527777778</v>
      </c>
      <c r="B448" s="3" t="s">
        <v>4</v>
      </c>
      <c r="C448" s="3">
        <v>10000119172</v>
      </c>
      <c r="D448" s="3" t="s">
        <v>10</v>
      </c>
      <c r="E448" s="3" t="s">
        <v>61</v>
      </c>
      <c r="F448" s="3" t="s">
        <v>6</v>
      </c>
      <c r="G448" s="3"/>
      <c r="H448" s="6" t="s">
        <v>406</v>
      </c>
      <c r="I448" s="6" t="s">
        <v>45</v>
      </c>
      <c r="J448" s="5">
        <v>45506.349305555559</v>
      </c>
      <c r="K448" s="7">
        <f t="shared" si="6"/>
        <v>0.65277777778101154</v>
      </c>
    </row>
    <row r="449" spans="1:11" x14ac:dyDescent="0.25">
      <c r="A449" s="5">
        <v>45505.73333333333</v>
      </c>
      <c r="B449" s="3" t="s">
        <v>4</v>
      </c>
      <c r="C449" s="3">
        <v>10000514345</v>
      </c>
      <c r="D449" s="3" t="s">
        <v>9</v>
      </c>
      <c r="E449" s="3" t="s">
        <v>11</v>
      </c>
      <c r="F449" s="3" t="s">
        <v>6</v>
      </c>
      <c r="G449" s="3"/>
      <c r="H449" s="6" t="s">
        <v>406</v>
      </c>
      <c r="I449" s="6" t="s">
        <v>45</v>
      </c>
      <c r="J449" s="5">
        <v>45505.780555555553</v>
      </c>
      <c r="K449" s="7">
        <f t="shared" si="6"/>
        <v>4.7222222223354038E-2</v>
      </c>
    </row>
    <row r="450" spans="1:11" x14ac:dyDescent="0.25">
      <c r="A450" s="5">
        <v>45505.73333333333</v>
      </c>
      <c r="B450" s="3" t="s">
        <v>4</v>
      </c>
      <c r="C450" s="3">
        <v>10000000824</v>
      </c>
      <c r="D450" s="3" t="s">
        <v>9</v>
      </c>
      <c r="E450" s="3" t="s">
        <v>149</v>
      </c>
      <c r="F450" s="3" t="s">
        <v>6</v>
      </c>
      <c r="G450" s="3"/>
      <c r="H450" s="6" t="s">
        <v>406</v>
      </c>
      <c r="I450" s="6" t="s">
        <v>45</v>
      </c>
      <c r="J450" s="5">
        <v>45505.981249999997</v>
      </c>
      <c r="K450" s="7">
        <f t="shared" si="6"/>
        <v>0.24791666666715173</v>
      </c>
    </row>
    <row r="451" spans="1:11" x14ac:dyDescent="0.25">
      <c r="A451" s="5">
        <v>45505.73333333333</v>
      </c>
      <c r="B451" s="3" t="s">
        <v>4</v>
      </c>
      <c r="C451" s="3">
        <v>10000024475</v>
      </c>
      <c r="D451" s="3" t="s">
        <v>10</v>
      </c>
      <c r="E451" s="3" t="s">
        <v>23</v>
      </c>
      <c r="F451" s="3" t="s">
        <v>6</v>
      </c>
      <c r="G451" s="3"/>
      <c r="H451" s="6" t="s">
        <v>406</v>
      </c>
      <c r="I451" s="6" t="s">
        <v>45</v>
      </c>
      <c r="J451" s="5">
        <v>45505.738194444442</v>
      </c>
      <c r="K451" s="7">
        <f t="shared" si="6"/>
        <v>4.8611111124046147E-3</v>
      </c>
    </row>
    <row r="452" spans="1:11" x14ac:dyDescent="0.25">
      <c r="A452" s="5">
        <v>45505.734027777777</v>
      </c>
      <c r="B452" s="3" t="s">
        <v>4</v>
      </c>
      <c r="C452" s="3">
        <v>10000365255</v>
      </c>
      <c r="D452" s="3" t="s">
        <v>9</v>
      </c>
      <c r="E452" s="3" t="s">
        <v>394</v>
      </c>
      <c r="F452" s="3" t="s">
        <v>6</v>
      </c>
      <c r="G452" s="3"/>
      <c r="H452" s="6" t="s">
        <v>407</v>
      </c>
      <c r="I452" s="6" t="s">
        <v>14</v>
      </c>
      <c r="J452" s="5">
        <v>45506.042361111111</v>
      </c>
      <c r="K452" s="7">
        <f t="shared" si="6"/>
        <v>0.30833333333430346</v>
      </c>
    </row>
    <row r="453" spans="1:11" x14ac:dyDescent="0.25">
      <c r="A453" s="5">
        <v>45505.741666666669</v>
      </c>
      <c r="B453" s="3" t="s">
        <v>412</v>
      </c>
      <c r="C453" s="3">
        <v>7853300001</v>
      </c>
      <c r="D453" s="3" t="s">
        <v>9</v>
      </c>
      <c r="E453" s="3" t="s">
        <v>19</v>
      </c>
      <c r="F453" s="3" t="s">
        <v>6</v>
      </c>
      <c r="G453" s="3"/>
      <c r="H453" s="6" t="s">
        <v>407</v>
      </c>
      <c r="I453" s="6" t="s">
        <v>14</v>
      </c>
      <c r="J453" s="5">
        <v>45505.745138888888</v>
      </c>
      <c r="K453" s="7">
        <f t="shared" ref="K453:K517" si="7">J453-A453</f>
        <v>3.4722222189884633E-3</v>
      </c>
    </row>
    <row r="454" spans="1:11" x14ac:dyDescent="0.25">
      <c r="A454" s="5">
        <v>45505.743750000001</v>
      </c>
      <c r="B454" s="3" t="s">
        <v>413</v>
      </c>
      <c r="C454" s="3">
        <v>10000058627</v>
      </c>
      <c r="D454" s="3" t="s">
        <v>9</v>
      </c>
      <c r="E454" s="3" t="s">
        <v>160</v>
      </c>
      <c r="F454" s="3" t="s">
        <v>6</v>
      </c>
      <c r="G454" s="3"/>
      <c r="H454" s="6" t="s">
        <v>407</v>
      </c>
      <c r="I454" s="6" t="s">
        <v>14</v>
      </c>
      <c r="J454" s="5">
        <v>45505.745138888888</v>
      </c>
      <c r="K454" s="7">
        <f t="shared" si="7"/>
        <v>1.3888888861401938E-3</v>
      </c>
    </row>
    <row r="455" spans="1:11" x14ac:dyDescent="0.25">
      <c r="A455" s="5">
        <v>45505.790277777778</v>
      </c>
      <c r="B455" s="3" t="s">
        <v>4</v>
      </c>
      <c r="C455" s="3">
        <v>6963530001</v>
      </c>
      <c r="D455" s="3" t="s">
        <v>9</v>
      </c>
      <c r="E455" s="3" t="s">
        <v>67</v>
      </c>
      <c r="F455" s="3" t="s">
        <v>6</v>
      </c>
      <c r="G455" s="3"/>
      <c r="H455" s="6" t="s">
        <v>406</v>
      </c>
      <c r="I455" s="6" t="s">
        <v>45</v>
      </c>
      <c r="J455" s="5">
        <v>45506.041666666664</v>
      </c>
      <c r="K455" s="7">
        <f t="shared" si="7"/>
        <v>0.25138888888614019</v>
      </c>
    </row>
    <row r="456" spans="1:11" x14ac:dyDescent="0.25">
      <c r="A456" s="5">
        <v>45505.854861111111</v>
      </c>
      <c r="B456" s="3" t="s">
        <v>4</v>
      </c>
      <c r="C456" s="3">
        <v>10000024475</v>
      </c>
      <c r="D456" s="3" t="s">
        <v>10</v>
      </c>
      <c r="E456" s="3" t="s">
        <v>23</v>
      </c>
      <c r="F456" s="3" t="s">
        <v>6</v>
      </c>
      <c r="G456" s="3"/>
      <c r="H456" s="6" t="s">
        <v>406</v>
      </c>
      <c r="I456" s="6" t="s">
        <v>45</v>
      </c>
      <c r="J456" s="5">
        <v>45506.347222222219</v>
      </c>
      <c r="K456" s="7">
        <f t="shared" si="7"/>
        <v>0.49236111110803904</v>
      </c>
    </row>
    <row r="457" spans="1:11" x14ac:dyDescent="0.25">
      <c r="A457" s="5">
        <v>45505.993750000001</v>
      </c>
      <c r="B457" s="3" t="s">
        <v>410</v>
      </c>
      <c r="C457" s="3">
        <v>10000000822</v>
      </c>
      <c r="D457" s="3" t="s">
        <v>9</v>
      </c>
      <c r="E457" s="3" t="s">
        <v>179</v>
      </c>
      <c r="F457" s="3" t="s">
        <v>6</v>
      </c>
      <c r="G457" s="3"/>
      <c r="H457" s="6" t="s">
        <v>414</v>
      </c>
      <c r="I457" s="6" t="s">
        <v>45</v>
      </c>
      <c r="J457" s="5">
        <v>45506.670138888891</v>
      </c>
      <c r="K457" s="7">
        <f t="shared" si="7"/>
        <v>0.67638888888905058</v>
      </c>
    </row>
    <row r="458" spans="1:11" x14ac:dyDescent="0.25">
      <c r="A458" s="5">
        <v>45505.998611111114</v>
      </c>
      <c r="B458" s="3" t="s">
        <v>413</v>
      </c>
      <c r="C458" s="3">
        <v>7853300001</v>
      </c>
      <c r="D458" s="3" t="s">
        <v>9</v>
      </c>
      <c r="E458" s="3" t="s">
        <v>19</v>
      </c>
      <c r="F458" s="3" t="s">
        <v>6</v>
      </c>
      <c r="G458" s="3"/>
      <c r="H458" s="6" t="s">
        <v>415</v>
      </c>
      <c r="I458" s="6" t="s">
        <v>14</v>
      </c>
      <c r="J458" s="5">
        <v>45506.043749999997</v>
      </c>
      <c r="K458" s="7">
        <f t="shared" si="7"/>
        <v>4.5138888883229811E-2</v>
      </c>
    </row>
    <row r="459" spans="1:11" x14ac:dyDescent="0.25">
      <c r="A459" s="5">
        <v>45506.000694444447</v>
      </c>
      <c r="B459" s="3" t="s">
        <v>413</v>
      </c>
      <c r="C459" s="3">
        <v>10000058627</v>
      </c>
      <c r="D459" s="3" t="s">
        <v>9</v>
      </c>
      <c r="E459" s="3" t="s">
        <v>160</v>
      </c>
      <c r="F459" s="3" t="s">
        <v>6</v>
      </c>
      <c r="G459" s="3"/>
      <c r="H459" s="6" t="s">
        <v>415</v>
      </c>
      <c r="I459" s="6" t="s">
        <v>14</v>
      </c>
      <c r="J459" s="5">
        <v>45506.043749999997</v>
      </c>
      <c r="K459" s="7">
        <f t="shared" si="7"/>
        <v>4.3055555550381541E-2</v>
      </c>
    </row>
    <row r="460" spans="1:11" x14ac:dyDescent="0.25">
      <c r="A460" s="5">
        <v>45506.011805555558</v>
      </c>
      <c r="B460" s="3" t="s">
        <v>4</v>
      </c>
      <c r="C460" s="3">
        <v>10000577752</v>
      </c>
      <c r="D460" s="3" t="s">
        <v>9</v>
      </c>
      <c r="E460" s="3" t="s">
        <v>21</v>
      </c>
      <c r="F460" s="3" t="s">
        <v>6</v>
      </c>
      <c r="G460" s="3"/>
      <c r="H460" s="6" t="s">
        <v>406</v>
      </c>
      <c r="I460" s="6" t="s">
        <v>45</v>
      </c>
      <c r="J460" s="5">
        <v>45506.374305555553</v>
      </c>
      <c r="K460" s="7">
        <f t="shared" si="7"/>
        <v>0.36249999999563443</v>
      </c>
    </row>
    <row r="461" spans="1:11" x14ac:dyDescent="0.25">
      <c r="A461" s="5">
        <v>45506.033333333333</v>
      </c>
      <c r="B461" s="3" t="s">
        <v>4</v>
      </c>
      <c r="C461" s="3">
        <v>10000457638</v>
      </c>
      <c r="D461" s="3" t="s">
        <v>104</v>
      </c>
      <c r="E461" s="3" t="s">
        <v>107</v>
      </c>
      <c r="F461" s="3" t="s">
        <v>6</v>
      </c>
      <c r="G461" s="3"/>
      <c r="H461" s="6" t="s">
        <v>406</v>
      </c>
      <c r="I461" s="6" t="s">
        <v>45</v>
      </c>
      <c r="J461" s="5">
        <v>45506.035416666666</v>
      </c>
      <c r="K461" s="7">
        <f t="shared" si="7"/>
        <v>2.0833333328482695E-3</v>
      </c>
    </row>
    <row r="462" spans="1:11" x14ac:dyDescent="0.25">
      <c r="A462" s="5">
        <v>45506.043749999997</v>
      </c>
      <c r="B462" s="3" t="s">
        <v>4</v>
      </c>
      <c r="C462" s="3">
        <v>10000457638</v>
      </c>
      <c r="D462" s="3" t="s">
        <v>104</v>
      </c>
      <c r="E462" s="3" t="s">
        <v>107</v>
      </c>
      <c r="F462" s="3" t="s">
        <v>6</v>
      </c>
      <c r="G462" s="3"/>
      <c r="H462" s="6" t="s">
        <v>406</v>
      </c>
      <c r="I462" s="6" t="s">
        <v>45</v>
      </c>
      <c r="J462" s="5">
        <v>45506.04583333333</v>
      </c>
      <c r="K462" s="7">
        <f t="shared" si="7"/>
        <v>2.0833333328482695E-3</v>
      </c>
    </row>
    <row r="463" spans="1:11" x14ac:dyDescent="0.25">
      <c r="A463" s="5">
        <v>45506.056250000001</v>
      </c>
      <c r="B463" s="3" t="s">
        <v>4</v>
      </c>
      <c r="C463" s="3">
        <v>10000514345</v>
      </c>
      <c r="D463" s="3" t="s">
        <v>9</v>
      </c>
      <c r="E463" s="3" t="s">
        <v>11</v>
      </c>
      <c r="F463" s="3" t="s">
        <v>6</v>
      </c>
      <c r="G463" s="3"/>
      <c r="H463" s="6" t="s">
        <v>406</v>
      </c>
      <c r="I463" s="6" t="s">
        <v>45</v>
      </c>
      <c r="J463" s="5">
        <v>45506.059027777781</v>
      </c>
      <c r="K463" s="7">
        <f t="shared" si="7"/>
        <v>2.7777777795563452E-3</v>
      </c>
    </row>
    <row r="464" spans="1:11" x14ac:dyDescent="0.25">
      <c r="A464" s="5">
        <v>45506.06527777778</v>
      </c>
      <c r="B464" s="3" t="s">
        <v>4</v>
      </c>
      <c r="C464" s="3">
        <v>10000457638</v>
      </c>
      <c r="D464" s="3" t="s">
        <v>104</v>
      </c>
      <c r="E464" s="3" t="s">
        <v>107</v>
      </c>
      <c r="F464" s="3" t="s">
        <v>6</v>
      </c>
      <c r="G464" s="3"/>
      <c r="H464" s="6" t="s">
        <v>406</v>
      </c>
      <c r="I464" s="6" t="s">
        <v>45</v>
      </c>
      <c r="J464" s="5">
        <v>45506.073611111111</v>
      </c>
      <c r="K464" s="7">
        <f t="shared" si="7"/>
        <v>8.333333331393078E-3</v>
      </c>
    </row>
    <row r="465" spans="1:11" x14ac:dyDescent="0.25">
      <c r="A465" s="5">
        <v>45506.088888888888</v>
      </c>
      <c r="B465" s="3" t="s">
        <v>4</v>
      </c>
      <c r="C465" s="3">
        <v>10000457638</v>
      </c>
      <c r="D465" s="3" t="s">
        <v>104</v>
      </c>
      <c r="E465" s="3" t="s">
        <v>107</v>
      </c>
      <c r="F465" s="3" t="s">
        <v>6</v>
      </c>
      <c r="G465" s="3"/>
      <c r="H465" s="6" t="s">
        <v>406</v>
      </c>
      <c r="I465" s="6" t="s">
        <v>45</v>
      </c>
      <c r="J465" s="5">
        <v>45506.091666666667</v>
      </c>
      <c r="K465" s="7">
        <f t="shared" si="7"/>
        <v>2.7777777795563452E-3</v>
      </c>
    </row>
    <row r="466" spans="1:11" x14ac:dyDescent="0.25">
      <c r="A466" s="5">
        <v>45506.112500000003</v>
      </c>
      <c r="B466" s="3" t="s">
        <v>4</v>
      </c>
      <c r="C466" s="3">
        <v>7823550001</v>
      </c>
      <c r="D466" s="3" t="s">
        <v>10</v>
      </c>
      <c r="E466" s="3" t="s">
        <v>102</v>
      </c>
      <c r="F466" s="3" t="s">
        <v>6</v>
      </c>
      <c r="G466" s="3"/>
      <c r="H466" s="6" t="s">
        <v>406</v>
      </c>
      <c r="I466" s="6" t="s">
        <v>45</v>
      </c>
      <c r="J466" s="5">
        <v>45506.114583333336</v>
      </c>
      <c r="K466" s="7">
        <f t="shared" si="7"/>
        <v>2.0833333328482695E-3</v>
      </c>
    </row>
    <row r="467" spans="1:11" x14ac:dyDescent="0.25">
      <c r="A467" s="5">
        <v>45506.120138888888</v>
      </c>
      <c r="B467" s="3" t="s">
        <v>4</v>
      </c>
      <c r="C467" s="3">
        <v>7823550001</v>
      </c>
      <c r="D467" s="3" t="s">
        <v>10</v>
      </c>
      <c r="E467" s="3" t="s">
        <v>102</v>
      </c>
      <c r="F467" s="3" t="s">
        <v>6</v>
      </c>
      <c r="G467" s="3"/>
      <c r="H467" s="6" t="s">
        <v>406</v>
      </c>
      <c r="I467" s="6" t="s">
        <v>45</v>
      </c>
      <c r="J467" s="5">
        <v>45506.364583333336</v>
      </c>
      <c r="K467" s="7">
        <f t="shared" si="7"/>
        <v>0.24444444444816327</v>
      </c>
    </row>
    <row r="468" spans="1:11" x14ac:dyDescent="0.25">
      <c r="A468" s="5">
        <v>45506.238194444442</v>
      </c>
      <c r="B468" s="3" t="s">
        <v>4</v>
      </c>
      <c r="C468" s="3">
        <v>10000002079</v>
      </c>
      <c r="D468" s="3" t="s">
        <v>10</v>
      </c>
      <c r="E468" s="3" t="s">
        <v>16</v>
      </c>
      <c r="F468" s="3" t="s">
        <v>6</v>
      </c>
      <c r="G468" s="3"/>
      <c r="H468" s="6" t="s">
        <v>406</v>
      </c>
      <c r="I468" s="6" t="s">
        <v>45</v>
      </c>
      <c r="J468" s="5">
        <v>45506.355555555558</v>
      </c>
      <c r="K468" s="7">
        <f t="shared" si="7"/>
        <v>0.117361111115315</v>
      </c>
    </row>
    <row r="469" spans="1:11" x14ac:dyDescent="0.25">
      <c r="A469" s="5">
        <v>45506.350694444445</v>
      </c>
      <c r="B469" s="3" t="s">
        <v>4</v>
      </c>
      <c r="C469" s="3">
        <v>10000024475</v>
      </c>
      <c r="D469" s="3" t="s">
        <v>10</v>
      </c>
      <c r="E469" s="3" t="s">
        <v>23</v>
      </c>
      <c r="F469" s="3" t="s">
        <v>6</v>
      </c>
      <c r="G469" s="3"/>
      <c r="H469" s="6" t="s">
        <v>406</v>
      </c>
      <c r="I469" s="6" t="s">
        <v>45</v>
      </c>
      <c r="J469" s="5">
        <v>45506.368055555555</v>
      </c>
      <c r="K469" s="7">
        <f t="shared" si="7"/>
        <v>1.7361111109494232E-2</v>
      </c>
    </row>
    <row r="470" spans="1:11" x14ac:dyDescent="0.25">
      <c r="A470" s="5">
        <v>45506.381249999999</v>
      </c>
      <c r="B470" s="3" t="s">
        <v>4</v>
      </c>
      <c r="C470" s="3">
        <v>10000002079</v>
      </c>
      <c r="D470" s="3" t="s">
        <v>10</v>
      </c>
      <c r="E470" s="3" t="s">
        <v>16</v>
      </c>
      <c r="F470" s="3" t="s">
        <v>6</v>
      </c>
      <c r="G470" s="3"/>
      <c r="H470" s="6" t="s">
        <v>406</v>
      </c>
      <c r="I470" s="6" t="s">
        <v>45</v>
      </c>
      <c r="J470" s="5">
        <v>45506.384722222225</v>
      </c>
      <c r="K470" s="7">
        <f t="shared" si="7"/>
        <v>3.4722222262644209E-3</v>
      </c>
    </row>
    <row r="471" spans="1:11" x14ac:dyDescent="0.25">
      <c r="A471" s="5">
        <v>45506.406944444447</v>
      </c>
      <c r="B471" s="3" t="s">
        <v>4</v>
      </c>
      <c r="C471" s="3">
        <v>10000024475</v>
      </c>
      <c r="D471" s="3" t="s">
        <v>10</v>
      </c>
      <c r="E471" s="3" t="s">
        <v>23</v>
      </c>
      <c r="F471" s="3" t="s">
        <v>6</v>
      </c>
      <c r="G471" s="3"/>
      <c r="H471" s="6" t="s">
        <v>416</v>
      </c>
      <c r="I471" s="6" t="s">
        <v>45</v>
      </c>
      <c r="J471" s="5">
        <v>45506.543749999997</v>
      </c>
      <c r="K471" s="7">
        <f t="shared" si="7"/>
        <v>0.13680555555038154</v>
      </c>
    </row>
    <row r="472" spans="1:11" x14ac:dyDescent="0.25">
      <c r="A472" s="5">
        <v>45506.475694444445</v>
      </c>
      <c r="B472" s="3" t="s">
        <v>4</v>
      </c>
      <c r="C472" s="3">
        <v>10000344647</v>
      </c>
      <c r="D472" s="3" t="s">
        <v>9</v>
      </c>
      <c r="E472" s="3" t="s">
        <v>349</v>
      </c>
      <c r="F472" s="3" t="s">
        <v>6</v>
      </c>
      <c r="G472" s="3"/>
      <c r="H472" s="6" t="s">
        <v>406</v>
      </c>
      <c r="I472" s="6" t="s">
        <v>45</v>
      </c>
      <c r="J472" s="5">
        <v>45506.481249999997</v>
      </c>
      <c r="K472" s="7">
        <f t="shared" si="7"/>
        <v>5.5555555518367328E-3</v>
      </c>
    </row>
    <row r="473" spans="1:11" x14ac:dyDescent="0.25">
      <c r="A473" s="5">
        <v>45506.550694444442</v>
      </c>
      <c r="B473" s="3" t="s">
        <v>4</v>
      </c>
      <c r="C473" s="3">
        <v>10000577752</v>
      </c>
      <c r="D473" s="3" t="s">
        <v>9</v>
      </c>
      <c r="E473" s="3" t="s">
        <v>21</v>
      </c>
      <c r="F473" s="3" t="s">
        <v>6</v>
      </c>
      <c r="G473" s="3"/>
      <c r="H473" s="6" t="s">
        <v>417</v>
      </c>
      <c r="I473" s="6" t="s">
        <v>45</v>
      </c>
      <c r="J473" s="5">
        <v>45506.770138888889</v>
      </c>
      <c r="K473" s="7">
        <f t="shared" si="7"/>
        <v>0.21944444444670808</v>
      </c>
    </row>
    <row r="474" spans="1:11" x14ac:dyDescent="0.25">
      <c r="A474" s="5">
        <v>45506.583333333336</v>
      </c>
      <c r="B474" s="3" t="s">
        <v>4</v>
      </c>
      <c r="C474" s="3">
        <v>10000024475</v>
      </c>
      <c r="D474" s="3" t="s">
        <v>10</v>
      </c>
      <c r="E474" s="3" t="s">
        <v>23</v>
      </c>
      <c r="F474" s="3" t="s">
        <v>6</v>
      </c>
      <c r="G474" s="3"/>
      <c r="H474" s="6" t="s">
        <v>417</v>
      </c>
      <c r="I474" s="6" t="s">
        <v>45</v>
      </c>
      <c r="J474" s="5">
        <v>45506.654861111114</v>
      </c>
      <c r="K474" s="7">
        <f t="shared" si="7"/>
        <v>7.1527777778101154E-2</v>
      </c>
    </row>
    <row r="475" spans="1:11" x14ac:dyDescent="0.25">
      <c r="A475" s="5">
        <v>45506.643055555556</v>
      </c>
      <c r="B475" s="3" t="s">
        <v>4</v>
      </c>
      <c r="C475" s="3">
        <v>10000344647</v>
      </c>
      <c r="D475" s="3" t="s">
        <v>9</v>
      </c>
      <c r="E475" s="3" t="s">
        <v>349</v>
      </c>
      <c r="F475" s="3" t="s">
        <v>6</v>
      </c>
      <c r="G475" s="3"/>
      <c r="H475" s="6" t="s">
        <v>417</v>
      </c>
      <c r="I475" s="6" t="s">
        <v>45</v>
      </c>
      <c r="J475" s="5">
        <v>45506.854166666664</v>
      </c>
      <c r="K475" s="7">
        <f t="shared" si="7"/>
        <v>0.21111111110803904</v>
      </c>
    </row>
    <row r="476" spans="1:11" x14ac:dyDescent="0.25">
      <c r="A476" s="5">
        <v>45506.679861111108</v>
      </c>
      <c r="B476" s="3" t="s">
        <v>428</v>
      </c>
      <c r="C476" s="3">
        <v>6999100001</v>
      </c>
      <c r="D476" s="3" t="s">
        <v>10</v>
      </c>
      <c r="E476" s="3" t="s">
        <v>95</v>
      </c>
      <c r="F476" s="3" t="s">
        <v>6</v>
      </c>
      <c r="G476" s="3"/>
      <c r="H476" s="6" t="s">
        <v>434</v>
      </c>
      <c r="I476" s="6" t="s">
        <v>14</v>
      </c>
      <c r="J476" s="5">
        <v>45510.462500000001</v>
      </c>
      <c r="K476" s="7">
        <f t="shared" si="7"/>
        <v>3.7826388888934162</v>
      </c>
    </row>
    <row r="477" spans="1:11" x14ac:dyDescent="0.25">
      <c r="A477" s="5">
        <v>45506.874305555553</v>
      </c>
      <c r="B477" s="3" t="s">
        <v>4</v>
      </c>
      <c r="C477" s="3">
        <v>10000002079</v>
      </c>
      <c r="D477" s="3" t="s">
        <v>10</v>
      </c>
      <c r="E477" s="3" t="s">
        <v>16</v>
      </c>
      <c r="F477" s="3" t="s">
        <v>6</v>
      </c>
      <c r="G477" s="3"/>
      <c r="H477" s="6" t="s">
        <v>42</v>
      </c>
      <c r="I477" s="6" t="s">
        <v>13</v>
      </c>
      <c r="J477" s="5">
        <v>45507.29583333333</v>
      </c>
      <c r="K477" s="7">
        <f t="shared" si="7"/>
        <v>0.42152777777664596</v>
      </c>
    </row>
    <row r="478" spans="1:11" x14ac:dyDescent="0.25">
      <c r="A478" s="5">
        <v>45506.90902777778</v>
      </c>
      <c r="B478" s="3" t="s">
        <v>4</v>
      </c>
      <c r="C478" s="3">
        <v>10000347457</v>
      </c>
      <c r="D478" s="3" t="s">
        <v>9</v>
      </c>
      <c r="E478" s="3" t="s">
        <v>93</v>
      </c>
      <c r="F478" s="3" t="s">
        <v>6</v>
      </c>
      <c r="G478" s="3"/>
      <c r="H478" s="6" t="s">
        <v>42</v>
      </c>
      <c r="I478" s="6" t="s">
        <v>13</v>
      </c>
      <c r="J478" s="5">
        <v>45506.963194444441</v>
      </c>
      <c r="K478" s="7">
        <f t="shared" si="7"/>
        <v>5.4166666661330964E-2</v>
      </c>
    </row>
    <row r="479" spans="1:11" x14ac:dyDescent="0.25">
      <c r="A479" s="5">
        <v>45506.925000000003</v>
      </c>
      <c r="B479" s="3" t="s">
        <v>4</v>
      </c>
      <c r="C479" s="3">
        <v>7823550001</v>
      </c>
      <c r="D479" s="3" t="s">
        <v>10</v>
      </c>
      <c r="E479" s="3" t="s">
        <v>102</v>
      </c>
      <c r="F479" s="3" t="s">
        <v>6</v>
      </c>
      <c r="G479" s="3"/>
      <c r="H479" s="6" t="s">
        <v>42</v>
      </c>
      <c r="I479" s="6" t="s">
        <v>13</v>
      </c>
      <c r="J479" s="5">
        <v>45507.479861111111</v>
      </c>
      <c r="K479" s="7">
        <f t="shared" si="7"/>
        <v>0.55486111110803904</v>
      </c>
    </row>
    <row r="480" spans="1:11" x14ac:dyDescent="0.25">
      <c r="A480" s="5">
        <v>45506.961805555555</v>
      </c>
      <c r="B480" s="3" t="s">
        <v>4</v>
      </c>
      <c r="C480" s="3">
        <v>10000004781</v>
      </c>
      <c r="D480" s="3" t="s">
        <v>45</v>
      </c>
      <c r="E480" s="3" t="s">
        <v>44</v>
      </c>
      <c r="F480" s="3" t="s">
        <v>6</v>
      </c>
      <c r="G480" s="3"/>
      <c r="H480" s="6" t="s">
        <v>42</v>
      </c>
      <c r="I480" s="6" t="s">
        <v>13</v>
      </c>
      <c r="J480" s="5">
        <v>45506.974305555559</v>
      </c>
      <c r="K480" s="7">
        <f t="shared" si="7"/>
        <v>1.2500000004365575E-2</v>
      </c>
    </row>
    <row r="481" spans="1:11" x14ac:dyDescent="0.25">
      <c r="A481" s="5">
        <v>45506.962500000001</v>
      </c>
      <c r="B481" s="3" t="s">
        <v>4</v>
      </c>
      <c r="C481" s="3">
        <v>10000009996</v>
      </c>
      <c r="D481" s="3" t="s">
        <v>9</v>
      </c>
      <c r="E481" s="3" t="s">
        <v>92</v>
      </c>
      <c r="F481" s="3" t="s">
        <v>6</v>
      </c>
      <c r="G481" s="3"/>
      <c r="H481" s="6" t="s">
        <v>42</v>
      </c>
      <c r="I481" s="6" t="s">
        <v>13</v>
      </c>
      <c r="J481" s="5">
        <v>45506.964583333334</v>
      </c>
      <c r="K481" s="7">
        <f t="shared" si="7"/>
        <v>2.0833333328482695E-3</v>
      </c>
    </row>
    <row r="482" spans="1:11" x14ac:dyDescent="0.25">
      <c r="A482" s="5">
        <v>45507.036805555559</v>
      </c>
      <c r="B482" s="3" t="s">
        <v>4</v>
      </c>
      <c r="C482" s="3">
        <v>10000577752</v>
      </c>
      <c r="D482" s="3" t="s">
        <v>9</v>
      </c>
      <c r="E482" s="3" t="s">
        <v>21</v>
      </c>
      <c r="F482" s="3" t="s">
        <v>6</v>
      </c>
      <c r="G482" s="3"/>
      <c r="H482" s="6" t="s">
        <v>42</v>
      </c>
      <c r="I482" s="6" t="s">
        <v>13</v>
      </c>
      <c r="J482" s="5">
        <v>45507.412499999999</v>
      </c>
      <c r="K482" s="7">
        <f t="shared" si="7"/>
        <v>0.37569444443943212</v>
      </c>
    </row>
    <row r="483" spans="1:11" x14ac:dyDescent="0.25">
      <c r="A483" s="5">
        <v>45507.13958333333</v>
      </c>
      <c r="B483" s="3" t="s">
        <v>4</v>
      </c>
      <c r="C483" s="3">
        <v>10000000822</v>
      </c>
      <c r="D483" s="3" t="s">
        <v>9</v>
      </c>
      <c r="E483" s="3" t="s">
        <v>179</v>
      </c>
      <c r="F483" s="3" t="s">
        <v>6</v>
      </c>
      <c r="G483" s="3"/>
      <c r="H483" s="6" t="s">
        <v>42</v>
      </c>
      <c r="I483" s="6" t="s">
        <v>13</v>
      </c>
      <c r="J483" s="5">
        <v>45508.975694444445</v>
      </c>
      <c r="K483" s="7">
        <f t="shared" si="7"/>
        <v>1.836111111115315</v>
      </c>
    </row>
    <row r="484" spans="1:11" x14ac:dyDescent="0.25">
      <c r="A484" s="5">
        <v>45507.365277777775</v>
      </c>
      <c r="B484" s="3" t="s">
        <v>4</v>
      </c>
      <c r="C484" s="3">
        <v>10000000427</v>
      </c>
      <c r="D484" s="3" t="s">
        <v>9</v>
      </c>
      <c r="E484" s="3" t="s">
        <v>419</v>
      </c>
      <c r="F484" s="3" t="s">
        <v>6</v>
      </c>
      <c r="G484" s="3"/>
      <c r="H484" s="6" t="s">
        <v>420</v>
      </c>
      <c r="I484" s="6" t="s">
        <v>14</v>
      </c>
      <c r="J484" s="5">
        <v>45507.383333333331</v>
      </c>
      <c r="K484" s="7">
        <f t="shared" si="7"/>
        <v>1.8055555556202307E-2</v>
      </c>
    </row>
    <row r="485" spans="1:11" x14ac:dyDescent="0.25">
      <c r="A485" s="5">
        <v>45507.447916666664</v>
      </c>
      <c r="B485" s="3" t="s">
        <v>401</v>
      </c>
      <c r="C485" s="3">
        <v>6998930001</v>
      </c>
      <c r="D485" s="3" t="s">
        <v>9</v>
      </c>
      <c r="E485" s="3" t="s">
        <v>155</v>
      </c>
      <c r="F485" s="3" t="s">
        <v>6</v>
      </c>
      <c r="G485" s="3"/>
      <c r="H485" s="6" t="s">
        <v>438</v>
      </c>
      <c r="I485" s="6" t="s">
        <v>14</v>
      </c>
      <c r="J485" s="5">
        <v>45511.568055555559</v>
      </c>
      <c r="K485" s="7">
        <f t="shared" si="7"/>
        <v>4.1201388888948713</v>
      </c>
    </row>
    <row r="486" spans="1:11" x14ac:dyDescent="0.25">
      <c r="A486" s="5">
        <v>45507.713888888888</v>
      </c>
      <c r="B486" s="3" t="s">
        <v>4</v>
      </c>
      <c r="C486" s="3">
        <v>10000002079</v>
      </c>
      <c r="D486" s="3" t="s">
        <v>10</v>
      </c>
      <c r="E486" s="3" t="s">
        <v>16</v>
      </c>
      <c r="F486" s="3" t="s">
        <v>6</v>
      </c>
      <c r="G486" s="3"/>
      <c r="H486" s="6" t="s">
        <v>42</v>
      </c>
      <c r="I486" s="6" t="s">
        <v>13</v>
      </c>
      <c r="J486" s="5">
        <v>45509.34097222222</v>
      </c>
      <c r="K486" s="7">
        <f t="shared" si="7"/>
        <v>1.6270833333328483</v>
      </c>
    </row>
    <row r="487" spans="1:11" x14ac:dyDescent="0.25">
      <c r="A487" s="5">
        <v>45507.986111111109</v>
      </c>
      <c r="B487" s="3" t="s">
        <v>4</v>
      </c>
      <c r="C487" s="3">
        <v>10000004781</v>
      </c>
      <c r="D487" s="3" t="s">
        <v>45</v>
      </c>
      <c r="E487" s="3" t="s">
        <v>44</v>
      </c>
      <c r="F487" s="3" t="s">
        <v>6</v>
      </c>
      <c r="G487" s="3"/>
      <c r="H487" s="6" t="s">
        <v>42</v>
      </c>
      <c r="I487" s="6" t="s">
        <v>13</v>
      </c>
      <c r="J487" s="5">
        <v>45507.988194444442</v>
      </c>
      <c r="K487" s="7">
        <f t="shared" si="7"/>
        <v>2.0833333328482695E-3</v>
      </c>
    </row>
    <row r="488" spans="1:11" x14ac:dyDescent="0.25">
      <c r="A488" s="5">
        <v>45508.112500000003</v>
      </c>
      <c r="B488" s="3" t="s">
        <v>4</v>
      </c>
      <c r="C488" s="3">
        <v>7823550001</v>
      </c>
      <c r="D488" s="3" t="s">
        <v>10</v>
      </c>
      <c r="E488" s="3" t="s">
        <v>102</v>
      </c>
      <c r="F488" s="3" t="s">
        <v>6</v>
      </c>
      <c r="G488" s="3"/>
      <c r="H488" s="6" t="s">
        <v>42</v>
      </c>
      <c r="I488" s="6" t="s">
        <v>13</v>
      </c>
      <c r="J488" s="5">
        <v>45508.309027777781</v>
      </c>
      <c r="K488" s="7">
        <f t="shared" si="7"/>
        <v>0.19652777777810115</v>
      </c>
    </row>
    <row r="489" spans="1:11" x14ac:dyDescent="0.25">
      <c r="A489" s="5">
        <v>45508.244444444441</v>
      </c>
      <c r="B489" s="3" t="s">
        <v>429</v>
      </c>
      <c r="C489" s="3">
        <v>10000457640</v>
      </c>
      <c r="D489" s="3" t="s">
        <v>104</v>
      </c>
      <c r="E489" s="3" t="s">
        <v>242</v>
      </c>
      <c r="F489" s="3" t="s">
        <v>6</v>
      </c>
      <c r="G489" s="3"/>
      <c r="H489" s="6" t="s">
        <v>437</v>
      </c>
      <c r="I489" s="6" t="s">
        <v>14</v>
      </c>
      <c r="J489" s="5">
        <v>45511.743055555555</v>
      </c>
      <c r="K489" s="7">
        <f t="shared" si="7"/>
        <v>3.4986111111138598</v>
      </c>
    </row>
    <row r="490" spans="1:11" x14ac:dyDescent="0.25">
      <c r="A490" s="5">
        <v>45508.267361111109</v>
      </c>
      <c r="B490" s="3" t="s">
        <v>4</v>
      </c>
      <c r="C490" s="3">
        <v>10000000853</v>
      </c>
      <c r="D490" s="3" t="s">
        <v>9</v>
      </c>
      <c r="E490" s="3" t="s">
        <v>62</v>
      </c>
      <c r="F490" s="3" t="s">
        <v>6</v>
      </c>
      <c r="G490" s="3"/>
      <c r="H490" s="6" t="s">
        <v>42</v>
      </c>
      <c r="I490" s="6" t="s">
        <v>13</v>
      </c>
      <c r="J490" s="5">
        <v>45508.275694444441</v>
      </c>
      <c r="K490" s="7">
        <f t="shared" si="7"/>
        <v>8.333333331393078E-3</v>
      </c>
    </row>
    <row r="491" spans="1:11" x14ac:dyDescent="0.25">
      <c r="A491" s="5">
        <v>45508.818055555559</v>
      </c>
      <c r="B491" s="3" t="s">
        <v>4</v>
      </c>
      <c r="C491" s="3">
        <v>7810530001</v>
      </c>
      <c r="D491" s="3" t="s">
        <v>9</v>
      </c>
      <c r="E491" s="3" t="s">
        <v>26</v>
      </c>
      <c r="F491" s="3" t="s">
        <v>6</v>
      </c>
      <c r="G491" s="3"/>
      <c r="H491" s="6" t="s">
        <v>421</v>
      </c>
      <c r="I491" s="6" t="s">
        <v>14</v>
      </c>
      <c r="J491" s="5">
        <v>45509.428472222222</v>
      </c>
      <c r="K491" s="7">
        <f t="shared" si="7"/>
        <v>0.61041666666278616</v>
      </c>
    </row>
    <row r="492" spans="1:11" x14ac:dyDescent="0.25">
      <c r="A492" s="5">
        <v>45508.906944444447</v>
      </c>
      <c r="B492" s="3" t="s">
        <v>4</v>
      </c>
      <c r="C492" s="3">
        <v>10000514345</v>
      </c>
      <c r="D492" s="3" t="s">
        <v>9</v>
      </c>
      <c r="E492" s="3" t="s">
        <v>11</v>
      </c>
      <c r="F492" s="3" t="s">
        <v>6</v>
      </c>
      <c r="G492" s="3"/>
      <c r="H492" s="6" t="s">
        <v>42</v>
      </c>
      <c r="I492" s="6" t="s">
        <v>13</v>
      </c>
      <c r="J492" s="5">
        <v>45508.919444444444</v>
      </c>
      <c r="K492" s="7">
        <f t="shared" si="7"/>
        <v>1.2499999997089617E-2</v>
      </c>
    </row>
    <row r="493" spans="1:11" x14ac:dyDescent="0.25">
      <c r="A493" s="5">
        <v>45509.011805555558</v>
      </c>
      <c r="B493" s="3" t="s">
        <v>4</v>
      </c>
      <c r="C493" s="3">
        <v>10000577752</v>
      </c>
      <c r="D493" s="3" t="s">
        <v>9</v>
      </c>
      <c r="E493" s="3" t="s">
        <v>21</v>
      </c>
      <c r="F493" s="3" t="s">
        <v>6</v>
      </c>
      <c r="G493" s="3"/>
      <c r="H493" s="6" t="s">
        <v>42</v>
      </c>
      <c r="I493" s="6" t="s">
        <v>13</v>
      </c>
      <c r="J493" s="5">
        <v>45509.054861111108</v>
      </c>
      <c r="K493" s="7">
        <f t="shared" si="7"/>
        <v>4.3055555550381541E-2</v>
      </c>
    </row>
    <row r="494" spans="1:11" x14ac:dyDescent="0.25">
      <c r="A494" s="5">
        <v>45509.088194444441</v>
      </c>
      <c r="B494" s="3" t="s">
        <v>4</v>
      </c>
      <c r="C494" s="3">
        <v>10000365255</v>
      </c>
      <c r="D494" s="3" t="s">
        <v>9</v>
      </c>
      <c r="E494" s="3" t="s">
        <v>394</v>
      </c>
      <c r="F494" s="3" t="s">
        <v>6</v>
      </c>
      <c r="G494" s="3"/>
      <c r="H494" s="6" t="s">
        <v>422</v>
      </c>
      <c r="I494" s="6" t="s">
        <v>14</v>
      </c>
      <c r="J494" s="5">
        <v>45509.55972222222</v>
      </c>
      <c r="K494" s="7">
        <f t="shared" si="7"/>
        <v>0.47152777777955635</v>
      </c>
    </row>
    <row r="495" spans="1:11" x14ac:dyDescent="0.25">
      <c r="A495" s="5">
        <v>45509.09097222222</v>
      </c>
      <c r="B495" s="3" t="s">
        <v>423</v>
      </c>
      <c r="C495" s="3">
        <v>10000058627</v>
      </c>
      <c r="D495" s="3" t="s">
        <v>9</v>
      </c>
      <c r="E495" s="3" t="s">
        <v>160</v>
      </c>
      <c r="F495" s="3" t="s">
        <v>6</v>
      </c>
      <c r="G495" s="3"/>
      <c r="H495" s="6" t="s">
        <v>422</v>
      </c>
      <c r="I495" s="6" t="s">
        <v>14</v>
      </c>
      <c r="J495" s="5">
        <v>45509.561111111114</v>
      </c>
      <c r="K495" s="7">
        <f t="shared" si="7"/>
        <v>0.47013888889341615</v>
      </c>
    </row>
    <row r="496" spans="1:11" x14ac:dyDescent="0.25">
      <c r="A496" s="5">
        <v>45509.091666666667</v>
      </c>
      <c r="B496" s="3" t="s">
        <v>424</v>
      </c>
      <c r="C496" s="3">
        <v>7853300001</v>
      </c>
      <c r="D496" s="3" t="s">
        <v>9</v>
      </c>
      <c r="E496" s="3" t="s">
        <v>19</v>
      </c>
      <c r="F496" s="3" t="s">
        <v>6</v>
      </c>
      <c r="G496" s="3"/>
      <c r="H496" s="6" t="s">
        <v>422</v>
      </c>
      <c r="I496" s="6" t="s">
        <v>14</v>
      </c>
      <c r="J496" s="5">
        <v>45509.560416666667</v>
      </c>
      <c r="K496" s="7">
        <f t="shared" si="7"/>
        <v>0.46875</v>
      </c>
    </row>
    <row r="497" spans="1:11" x14ac:dyDescent="0.25">
      <c r="A497" s="5">
        <v>45509.477777777778</v>
      </c>
      <c r="B497" s="3" t="s">
        <v>4</v>
      </c>
      <c r="C497" s="3">
        <v>7810530001</v>
      </c>
      <c r="D497" s="3" t="s">
        <v>9</v>
      </c>
      <c r="E497" s="3" t="s">
        <v>26</v>
      </c>
      <c r="F497" s="3" t="s">
        <v>6</v>
      </c>
      <c r="G497" s="3"/>
      <c r="H497" s="6" t="s">
        <v>421</v>
      </c>
      <c r="I497" s="6" t="s">
        <v>14</v>
      </c>
      <c r="J497" s="5">
        <v>45509.49722222222</v>
      </c>
      <c r="K497" s="7">
        <f t="shared" si="7"/>
        <v>1.9444444442342501E-2</v>
      </c>
    </row>
    <row r="498" spans="1:11" x14ac:dyDescent="0.25">
      <c r="A498" s="5">
        <v>45509.87777777778</v>
      </c>
      <c r="B498" s="3" t="s">
        <v>4</v>
      </c>
      <c r="C498" s="3">
        <v>10000002079</v>
      </c>
      <c r="D498" s="3" t="s">
        <v>10</v>
      </c>
      <c r="E498" s="3" t="s">
        <v>16</v>
      </c>
      <c r="F498" s="3" t="s">
        <v>6</v>
      </c>
      <c r="G498" s="3"/>
      <c r="H498" s="6" t="s">
        <v>42</v>
      </c>
      <c r="I498" s="6" t="s">
        <v>13</v>
      </c>
      <c r="J498" s="5">
        <v>45510.351388888892</v>
      </c>
      <c r="K498" s="7">
        <f t="shared" si="7"/>
        <v>0.47361111111240461</v>
      </c>
    </row>
    <row r="499" spans="1:11" x14ac:dyDescent="0.25">
      <c r="A499" s="5">
        <v>45509.931250000001</v>
      </c>
      <c r="B499" s="3" t="s">
        <v>4</v>
      </c>
      <c r="C499" s="3">
        <v>10000514345</v>
      </c>
      <c r="D499" s="3" t="s">
        <v>9</v>
      </c>
      <c r="E499" s="3" t="s">
        <v>11</v>
      </c>
      <c r="F499" s="3" t="s">
        <v>6</v>
      </c>
      <c r="G499" s="3"/>
      <c r="H499" s="6" t="s">
        <v>42</v>
      </c>
      <c r="I499" s="6" t="s">
        <v>13</v>
      </c>
      <c r="J499" s="5">
        <v>45509.933333333334</v>
      </c>
      <c r="K499" s="7">
        <f t="shared" si="7"/>
        <v>2.0833333328482695E-3</v>
      </c>
    </row>
    <row r="500" spans="1:11" x14ac:dyDescent="0.25">
      <c r="A500" s="5">
        <v>45509.988888888889</v>
      </c>
      <c r="B500" s="3" t="s">
        <v>4</v>
      </c>
      <c r="C500" s="3">
        <v>10000011130</v>
      </c>
      <c r="D500" s="3" t="s">
        <v>17</v>
      </c>
      <c r="E500" s="3" t="s">
        <v>15</v>
      </c>
      <c r="F500" s="3" t="s">
        <v>6</v>
      </c>
      <c r="G500" s="3"/>
      <c r="H500" s="6" t="s">
        <v>418</v>
      </c>
      <c r="I500" s="6" t="s">
        <v>13</v>
      </c>
      <c r="J500" s="5">
        <v>45510.52847222222</v>
      </c>
      <c r="K500" s="7">
        <f t="shared" si="7"/>
        <v>0.53958333333139308</v>
      </c>
    </row>
    <row r="501" spans="1:11" x14ac:dyDescent="0.25">
      <c r="A501" s="5">
        <v>45510.131944444445</v>
      </c>
      <c r="B501" s="3" t="s">
        <v>425</v>
      </c>
      <c r="C501" s="3">
        <v>10000058625</v>
      </c>
      <c r="D501" s="3" t="s">
        <v>9</v>
      </c>
      <c r="E501" s="3" t="s">
        <v>426</v>
      </c>
      <c r="F501" s="3" t="s">
        <v>6</v>
      </c>
      <c r="G501" s="3"/>
      <c r="H501" s="6" t="s">
        <v>433</v>
      </c>
      <c r="I501" s="6" t="s">
        <v>14</v>
      </c>
      <c r="J501" s="5">
        <v>45510.459722222222</v>
      </c>
      <c r="K501" s="7">
        <f t="shared" si="7"/>
        <v>0.32777777777664596</v>
      </c>
    </row>
    <row r="502" spans="1:11" x14ac:dyDescent="0.25">
      <c r="A502" s="5">
        <v>45510.506944444445</v>
      </c>
      <c r="B502" s="3" t="s">
        <v>430</v>
      </c>
      <c r="C502" s="3">
        <v>10000002550</v>
      </c>
      <c r="D502" s="3" t="s">
        <v>9</v>
      </c>
      <c r="E502" s="3" t="s">
        <v>165</v>
      </c>
      <c r="F502" s="3" t="s">
        <v>6</v>
      </c>
      <c r="G502" s="3"/>
      <c r="H502" s="6" t="s">
        <v>431</v>
      </c>
      <c r="I502" s="6" t="s">
        <v>14</v>
      </c>
      <c r="J502" s="5">
        <v>45510.560416666667</v>
      </c>
      <c r="K502" s="7">
        <f t="shared" si="7"/>
        <v>5.3472222221898846E-2</v>
      </c>
    </row>
    <row r="503" spans="1:11" x14ac:dyDescent="0.25">
      <c r="A503" s="5">
        <v>45510.613888888889</v>
      </c>
      <c r="B503" s="3" t="s">
        <v>4</v>
      </c>
      <c r="C503" s="3">
        <v>10000011130</v>
      </c>
      <c r="D503" s="3" t="s">
        <v>17</v>
      </c>
      <c r="E503" s="3" t="s">
        <v>15</v>
      </c>
      <c r="F503" s="3" t="s">
        <v>6</v>
      </c>
      <c r="G503" s="3"/>
      <c r="H503" s="6" t="s">
        <v>42</v>
      </c>
      <c r="I503" s="6" t="s">
        <v>13</v>
      </c>
      <c r="J503" s="5">
        <v>45510.617361111108</v>
      </c>
      <c r="K503" s="7">
        <f t="shared" si="7"/>
        <v>3.4722222189884633E-3</v>
      </c>
    </row>
    <row r="504" spans="1:11" x14ac:dyDescent="0.25">
      <c r="A504" s="5">
        <v>45510.736111111109</v>
      </c>
      <c r="B504" s="3" t="s">
        <v>432</v>
      </c>
      <c r="C504" s="3">
        <v>7800450001</v>
      </c>
      <c r="D504" s="3" t="s">
        <v>10</v>
      </c>
      <c r="E504" s="3" t="s">
        <v>75</v>
      </c>
      <c r="F504" s="3" t="s">
        <v>6</v>
      </c>
      <c r="G504" s="3"/>
      <c r="H504" s="6" t="s">
        <v>436</v>
      </c>
      <c r="I504" s="6" t="s">
        <v>14</v>
      </c>
      <c r="J504" s="5">
        <v>45511.953472222223</v>
      </c>
      <c r="K504" s="7">
        <f t="shared" si="7"/>
        <v>1.2173611111138598</v>
      </c>
    </row>
    <row r="505" spans="1:11" x14ac:dyDescent="0.25">
      <c r="A505" s="5">
        <v>45510.895138888889</v>
      </c>
      <c r="B505" s="3" t="s">
        <v>4</v>
      </c>
      <c r="C505" s="3">
        <v>10000002079</v>
      </c>
      <c r="D505" s="3" t="s">
        <v>10</v>
      </c>
      <c r="E505" s="3" t="s">
        <v>16</v>
      </c>
      <c r="F505" s="3" t="s">
        <v>6</v>
      </c>
      <c r="G505" s="3"/>
      <c r="H505" s="6" t="s">
        <v>42</v>
      </c>
      <c r="I505" s="6" t="s">
        <v>13</v>
      </c>
      <c r="J505" s="5">
        <v>45511.345833333333</v>
      </c>
      <c r="K505" s="7">
        <f t="shared" si="7"/>
        <v>0.45069444444379769</v>
      </c>
    </row>
    <row r="506" spans="1:11" x14ac:dyDescent="0.25">
      <c r="A506" s="5">
        <v>45511.888194444444</v>
      </c>
      <c r="B506" s="3" t="s">
        <v>4</v>
      </c>
      <c r="C506" s="3">
        <v>10000002079</v>
      </c>
      <c r="D506" s="3" t="s">
        <v>10</v>
      </c>
      <c r="E506" s="3" t="s">
        <v>16</v>
      </c>
      <c r="F506" s="3" t="s">
        <v>6</v>
      </c>
      <c r="G506" s="3"/>
      <c r="H506" s="6" t="s">
        <v>42</v>
      </c>
      <c r="I506" s="6" t="s">
        <v>13</v>
      </c>
      <c r="J506" s="5">
        <v>45512.328472222223</v>
      </c>
      <c r="K506" s="7">
        <f t="shared" si="7"/>
        <v>0.44027777777955635</v>
      </c>
    </row>
    <row r="507" spans="1:11" x14ac:dyDescent="0.25">
      <c r="A507" s="5">
        <v>45512.170138888891</v>
      </c>
      <c r="B507" s="3" t="s">
        <v>439</v>
      </c>
      <c r="C507" s="3">
        <v>6999100001</v>
      </c>
      <c r="D507" s="3" t="s">
        <v>10</v>
      </c>
      <c r="E507" s="3" t="s">
        <v>95</v>
      </c>
      <c r="F507" s="3" t="s">
        <v>6</v>
      </c>
      <c r="G507" s="3"/>
      <c r="H507" s="6" t="s">
        <v>492</v>
      </c>
      <c r="I507" s="6" t="s">
        <v>14</v>
      </c>
      <c r="J507" s="5">
        <v>45532.462500000001</v>
      </c>
      <c r="K507" s="7">
        <f t="shared" si="7"/>
        <v>20.292361111110949</v>
      </c>
    </row>
    <row r="508" spans="1:11" x14ac:dyDescent="0.25">
      <c r="A508" s="5">
        <v>45512.897916666669</v>
      </c>
      <c r="B508" s="3" t="s">
        <v>4</v>
      </c>
      <c r="C508" s="3">
        <v>10000002079</v>
      </c>
      <c r="D508" s="3" t="s">
        <v>10</v>
      </c>
      <c r="E508" s="3" t="s">
        <v>16</v>
      </c>
      <c r="F508" s="3" t="s">
        <v>6</v>
      </c>
      <c r="G508" s="3"/>
      <c r="H508" s="6" t="s">
        <v>42</v>
      </c>
      <c r="I508" s="6" t="s">
        <v>13</v>
      </c>
      <c r="J508" s="5">
        <v>45513.297222222223</v>
      </c>
      <c r="K508" s="7">
        <f t="shared" si="7"/>
        <v>0.39930555555474712</v>
      </c>
    </row>
    <row r="509" spans="1:11" x14ac:dyDescent="0.25">
      <c r="A509" s="5">
        <v>45513.04791666667</v>
      </c>
      <c r="B509" s="3" t="s">
        <v>4</v>
      </c>
      <c r="C509" s="3">
        <v>6999040001</v>
      </c>
      <c r="D509" s="3" t="s">
        <v>10</v>
      </c>
      <c r="E509" s="3" t="s">
        <v>131</v>
      </c>
      <c r="F509" s="3" t="s">
        <v>6</v>
      </c>
      <c r="G509" s="3"/>
      <c r="H509" s="6" t="s">
        <v>441</v>
      </c>
      <c r="I509" s="6" t="s">
        <v>14</v>
      </c>
      <c r="J509" s="5">
        <v>45513.055555555555</v>
      </c>
      <c r="K509" s="7">
        <f t="shared" si="7"/>
        <v>7.6388888846850023E-3</v>
      </c>
    </row>
    <row r="510" spans="1:11" x14ac:dyDescent="0.25">
      <c r="A510" s="5">
        <v>45513.04791666667</v>
      </c>
      <c r="B510" s="3" t="s">
        <v>4</v>
      </c>
      <c r="C510" s="3">
        <v>10000500812</v>
      </c>
      <c r="D510" s="3" t="s">
        <v>9</v>
      </c>
      <c r="E510" s="3" t="s">
        <v>440</v>
      </c>
      <c r="F510" s="3" t="s">
        <v>6</v>
      </c>
      <c r="G510" s="3"/>
      <c r="H510" s="6" t="s">
        <v>441</v>
      </c>
      <c r="I510" s="6" t="s">
        <v>14</v>
      </c>
      <c r="J510" s="5">
        <v>45513.054166666669</v>
      </c>
      <c r="K510" s="7">
        <f t="shared" si="7"/>
        <v>6.2499999985448085E-3</v>
      </c>
    </row>
    <row r="511" spans="1:11" x14ac:dyDescent="0.25">
      <c r="A511" s="5">
        <v>45513.118055555555</v>
      </c>
      <c r="B511" s="3" t="s">
        <v>442</v>
      </c>
      <c r="C511" s="3">
        <v>10000000853</v>
      </c>
      <c r="D511" s="3" t="s">
        <v>9</v>
      </c>
      <c r="E511" s="3" t="s">
        <v>62</v>
      </c>
      <c r="F511" s="3" t="s">
        <v>38</v>
      </c>
      <c r="G511" s="3"/>
      <c r="H511" s="6" t="s">
        <v>443</v>
      </c>
      <c r="I511" s="6" t="s">
        <v>14</v>
      </c>
      <c r="J511" s="5">
        <v>45514.958333333336</v>
      </c>
      <c r="K511" s="7">
        <f t="shared" si="7"/>
        <v>1.8402777777810115</v>
      </c>
    </row>
    <row r="512" spans="1:11" x14ac:dyDescent="0.25">
      <c r="A512" s="5">
        <v>45513.345833333333</v>
      </c>
      <c r="B512" s="3" t="s">
        <v>444</v>
      </c>
      <c r="C512" s="3">
        <v>7808270001</v>
      </c>
      <c r="D512" s="3" t="s">
        <v>9</v>
      </c>
      <c r="E512" s="3" t="s">
        <v>37</v>
      </c>
      <c r="F512" s="3" t="s">
        <v>445</v>
      </c>
      <c r="G512" s="3"/>
      <c r="H512" s="6" t="s">
        <v>447</v>
      </c>
      <c r="I512" s="6" t="s">
        <v>14</v>
      </c>
      <c r="J512" s="5">
        <v>45513.405555555553</v>
      </c>
      <c r="K512" s="7">
        <f t="shared" si="7"/>
        <v>5.9722222220443655E-2</v>
      </c>
    </row>
    <row r="513" spans="1:11" x14ac:dyDescent="0.25">
      <c r="A513" s="5">
        <v>45513.871527777781</v>
      </c>
      <c r="B513" s="3" t="s">
        <v>4</v>
      </c>
      <c r="C513" s="3">
        <v>10000514345</v>
      </c>
      <c r="D513" s="3" t="s">
        <v>9</v>
      </c>
      <c r="E513" s="3" t="s">
        <v>11</v>
      </c>
      <c r="F513" s="3" t="s">
        <v>6</v>
      </c>
      <c r="G513" s="3"/>
      <c r="H513" s="6" t="s">
        <v>42</v>
      </c>
      <c r="I513" s="6" t="s">
        <v>13</v>
      </c>
      <c r="J513" s="5">
        <v>45513.874305555553</v>
      </c>
      <c r="K513" s="7">
        <f t="shared" si="7"/>
        <v>2.7777777722803876E-3</v>
      </c>
    </row>
    <row r="514" spans="1:11" x14ac:dyDescent="0.25">
      <c r="A514" s="5">
        <v>45514.427083333336</v>
      </c>
      <c r="B514" s="3" t="s">
        <v>4</v>
      </c>
      <c r="C514" s="3">
        <v>10000004781</v>
      </c>
      <c r="D514" s="3" t="s">
        <v>45</v>
      </c>
      <c r="E514" s="3" t="s">
        <v>44</v>
      </c>
      <c r="F514" s="3" t="s">
        <v>6</v>
      </c>
      <c r="G514" s="3"/>
      <c r="H514" s="6" t="s">
        <v>42</v>
      </c>
      <c r="I514" s="6" t="s">
        <v>13</v>
      </c>
      <c r="J514" s="5">
        <v>45514.427777777775</v>
      </c>
      <c r="K514" s="7">
        <f t="shared" si="7"/>
        <v>6.9444443943211809E-4</v>
      </c>
    </row>
    <row r="515" spans="1:11" x14ac:dyDescent="0.25">
      <c r="A515" s="5">
        <v>45514.442361111112</v>
      </c>
      <c r="B515" s="3" t="s">
        <v>4</v>
      </c>
      <c r="C515" s="3">
        <v>10000577752</v>
      </c>
      <c r="D515" s="3" t="s">
        <v>9</v>
      </c>
      <c r="E515" s="3" t="s">
        <v>21</v>
      </c>
      <c r="F515" s="3" t="s">
        <v>6</v>
      </c>
      <c r="G515" s="3"/>
      <c r="H515" s="6" t="s">
        <v>42</v>
      </c>
      <c r="I515" s="6" t="s">
        <v>13</v>
      </c>
      <c r="J515" s="5">
        <v>45514.443055555559</v>
      </c>
      <c r="K515" s="7">
        <f t="shared" si="7"/>
        <v>6.944444467080757E-4</v>
      </c>
    </row>
    <row r="516" spans="1:11" x14ac:dyDescent="0.25">
      <c r="A516" s="5">
        <v>45515.793055555558</v>
      </c>
      <c r="B516" s="3" t="s">
        <v>446</v>
      </c>
      <c r="C516" s="3">
        <v>10000457640</v>
      </c>
      <c r="D516" s="3" t="s">
        <v>104</v>
      </c>
      <c r="E516" s="3" t="s">
        <v>242</v>
      </c>
      <c r="F516" s="3" t="s">
        <v>6</v>
      </c>
      <c r="G516" s="3"/>
      <c r="H516" s="6" t="s">
        <v>459</v>
      </c>
      <c r="I516" s="6" t="s">
        <v>14</v>
      </c>
      <c r="J516" s="5">
        <v>45520.53125</v>
      </c>
      <c r="K516" s="7">
        <f t="shared" si="7"/>
        <v>4.7381944444423425</v>
      </c>
    </row>
    <row r="517" spans="1:11" x14ac:dyDescent="0.25">
      <c r="A517" s="5">
        <v>45516.604861111111</v>
      </c>
      <c r="B517" s="3" t="s">
        <v>4</v>
      </c>
      <c r="C517" s="3">
        <v>10000058625</v>
      </c>
      <c r="D517" s="3" t="s">
        <v>9</v>
      </c>
      <c r="E517" s="3" t="s">
        <v>41</v>
      </c>
      <c r="F517" s="3" t="s">
        <v>6</v>
      </c>
      <c r="G517" s="3"/>
      <c r="H517" s="6" t="s">
        <v>42</v>
      </c>
      <c r="I517" s="6" t="s">
        <v>13</v>
      </c>
      <c r="J517" s="5">
        <v>45516.612500000003</v>
      </c>
      <c r="K517" s="7">
        <f t="shared" si="7"/>
        <v>7.6388888919609599E-3</v>
      </c>
    </row>
    <row r="518" spans="1:11" x14ac:dyDescent="0.25">
      <c r="A518" s="5">
        <v>45517.145138888889</v>
      </c>
      <c r="B518" s="3" t="s">
        <v>4</v>
      </c>
      <c r="C518" s="3">
        <v>10000457638</v>
      </c>
      <c r="D518" s="3" t="s">
        <v>104</v>
      </c>
      <c r="E518" s="3" t="s">
        <v>107</v>
      </c>
      <c r="F518" s="3" t="s">
        <v>6</v>
      </c>
      <c r="G518" s="3"/>
      <c r="H518" s="6" t="s">
        <v>448</v>
      </c>
      <c r="I518" s="6" t="s">
        <v>14</v>
      </c>
      <c r="J518" s="5">
        <v>45517.15347222222</v>
      </c>
      <c r="K518" s="7">
        <f t="shared" ref="K518:K582" si="8">J518-A518</f>
        <v>8.333333331393078E-3</v>
      </c>
    </row>
    <row r="519" spans="1:11" x14ac:dyDescent="0.25">
      <c r="A519" s="5">
        <v>45517.172222222223</v>
      </c>
      <c r="B519" s="3" t="s">
        <v>4</v>
      </c>
      <c r="C519" s="3">
        <v>10000457638</v>
      </c>
      <c r="D519" s="3" t="s">
        <v>104</v>
      </c>
      <c r="E519" s="3" t="s">
        <v>107</v>
      </c>
      <c r="F519" s="3" t="s">
        <v>6</v>
      </c>
      <c r="G519" s="3"/>
      <c r="H519" s="6" t="s">
        <v>448</v>
      </c>
      <c r="I519" s="6" t="s">
        <v>14</v>
      </c>
      <c r="J519" s="5">
        <v>45517.174305555556</v>
      </c>
      <c r="K519" s="7">
        <f t="shared" si="8"/>
        <v>2.0833333328482695E-3</v>
      </c>
    </row>
    <row r="520" spans="1:11" x14ac:dyDescent="0.25">
      <c r="A520" s="5">
        <v>45517.57708333333</v>
      </c>
      <c r="B520" s="3" t="s">
        <v>449</v>
      </c>
      <c r="C520" s="3">
        <v>10000568648</v>
      </c>
      <c r="D520" s="3" t="s">
        <v>134</v>
      </c>
      <c r="E520" s="3" t="s">
        <v>450</v>
      </c>
      <c r="F520" s="3" t="s">
        <v>274</v>
      </c>
      <c r="G520" s="3"/>
      <c r="H520" s="6" t="s">
        <v>460</v>
      </c>
      <c r="I520" s="6" t="s">
        <v>14</v>
      </c>
      <c r="J520" s="5">
        <v>45520.499305555553</v>
      </c>
      <c r="K520" s="7">
        <f t="shared" si="8"/>
        <v>2.922222222223354</v>
      </c>
    </row>
    <row r="521" spans="1:11" x14ac:dyDescent="0.25">
      <c r="A521" s="5">
        <v>45517.875694444447</v>
      </c>
      <c r="B521" s="3" t="s">
        <v>4</v>
      </c>
      <c r="C521" s="3">
        <v>7808270001</v>
      </c>
      <c r="D521" s="3" t="s">
        <v>9</v>
      </c>
      <c r="E521" s="3" t="s">
        <v>37</v>
      </c>
      <c r="F521" s="3" t="s">
        <v>6</v>
      </c>
      <c r="G521" s="3"/>
      <c r="H521" s="6" t="s">
        <v>42</v>
      </c>
      <c r="I521" s="6" t="s">
        <v>13</v>
      </c>
      <c r="J521" s="5">
        <v>45517.875694444447</v>
      </c>
      <c r="K521" s="7">
        <f t="shared" si="8"/>
        <v>0</v>
      </c>
    </row>
    <row r="522" spans="1:11" x14ac:dyDescent="0.25">
      <c r="A522" s="5">
        <v>45518.095833333333</v>
      </c>
      <c r="B522" s="3" t="s">
        <v>4</v>
      </c>
      <c r="C522" s="3">
        <v>10000004780</v>
      </c>
      <c r="D522" s="3" t="s">
        <v>45</v>
      </c>
      <c r="E522" s="3" t="s">
        <v>404</v>
      </c>
      <c r="F522" s="3" t="s">
        <v>6</v>
      </c>
      <c r="G522" s="3"/>
      <c r="H522" s="6" t="s">
        <v>42</v>
      </c>
      <c r="I522" s="6" t="s">
        <v>13</v>
      </c>
      <c r="J522" s="5">
        <v>45518.102083333331</v>
      </c>
      <c r="K522" s="7">
        <f t="shared" si="8"/>
        <v>6.2499999985448085E-3</v>
      </c>
    </row>
    <row r="523" spans="1:11" x14ac:dyDescent="0.25">
      <c r="A523" s="5">
        <v>45519.227777777778</v>
      </c>
      <c r="B523" s="3" t="s">
        <v>4</v>
      </c>
      <c r="C523" s="3">
        <v>7810530001</v>
      </c>
      <c r="D523" s="3" t="s">
        <v>9</v>
      </c>
      <c r="E523" s="3" t="s">
        <v>26</v>
      </c>
      <c r="F523" s="3" t="s">
        <v>6</v>
      </c>
      <c r="G523" s="3"/>
      <c r="H523" s="6" t="s">
        <v>451</v>
      </c>
      <c r="I523" s="6" t="s">
        <v>14</v>
      </c>
      <c r="J523" s="5">
        <v>45520.520833333336</v>
      </c>
      <c r="K523" s="7">
        <f t="shared" si="8"/>
        <v>1.2930555555576575</v>
      </c>
    </row>
    <row r="524" spans="1:11" x14ac:dyDescent="0.25">
      <c r="A524" s="5">
        <v>45519.277083333334</v>
      </c>
      <c r="B524" s="3" t="s">
        <v>4</v>
      </c>
      <c r="C524" s="3">
        <v>10000347457</v>
      </c>
      <c r="D524" s="3" t="s">
        <v>9</v>
      </c>
      <c r="E524" s="3" t="s">
        <v>93</v>
      </c>
      <c r="F524" s="3" t="s">
        <v>6</v>
      </c>
      <c r="G524" s="3"/>
      <c r="H524" s="6" t="s">
        <v>452</v>
      </c>
      <c r="I524" s="6" t="s">
        <v>14</v>
      </c>
      <c r="J524" s="5">
        <v>45519.438888888886</v>
      </c>
      <c r="K524" s="7">
        <f t="shared" si="8"/>
        <v>0.16180555555183673</v>
      </c>
    </row>
    <row r="525" spans="1:11" x14ac:dyDescent="0.25">
      <c r="A525" s="5">
        <v>45519.364583333336</v>
      </c>
      <c r="B525" s="3" t="s">
        <v>453</v>
      </c>
      <c r="C525" s="3">
        <v>10000000824</v>
      </c>
      <c r="D525" s="3" t="s">
        <v>9</v>
      </c>
      <c r="E525" s="3" t="s">
        <v>149</v>
      </c>
      <c r="F525" s="3" t="s">
        <v>6</v>
      </c>
      <c r="G525" s="3"/>
      <c r="H525" s="6" t="s">
        <v>454</v>
      </c>
      <c r="I525" s="6" t="s">
        <v>14</v>
      </c>
      <c r="J525" s="5">
        <v>45519.446527777778</v>
      </c>
      <c r="K525" s="7">
        <f t="shared" si="8"/>
        <v>8.1944444442342501E-2</v>
      </c>
    </row>
    <row r="526" spans="1:11" x14ac:dyDescent="0.25">
      <c r="A526" s="5">
        <v>45519.77847222222</v>
      </c>
      <c r="B526" s="3" t="s">
        <v>4</v>
      </c>
      <c r="C526" s="3">
        <v>10000514345</v>
      </c>
      <c r="D526" s="3" t="s">
        <v>9</v>
      </c>
      <c r="E526" s="3" t="s">
        <v>11</v>
      </c>
      <c r="F526" s="3" t="s">
        <v>6</v>
      </c>
      <c r="G526" s="3"/>
      <c r="H526" s="6" t="s">
        <v>42</v>
      </c>
      <c r="I526" s="6" t="s">
        <v>13</v>
      </c>
      <c r="J526" s="5">
        <v>45519.78402777778</v>
      </c>
      <c r="K526" s="7">
        <f t="shared" si="8"/>
        <v>5.5555555591126904E-3</v>
      </c>
    </row>
    <row r="527" spans="1:11" x14ac:dyDescent="0.25">
      <c r="A527" s="5">
        <v>45519.816666666666</v>
      </c>
      <c r="B527" s="3" t="s">
        <v>455</v>
      </c>
      <c r="C527" s="3">
        <v>10000514345</v>
      </c>
      <c r="D527" s="3" t="s">
        <v>9</v>
      </c>
      <c r="E527" s="3" t="s">
        <v>11</v>
      </c>
      <c r="F527" s="3" t="s">
        <v>6</v>
      </c>
      <c r="G527" s="3"/>
      <c r="H527" s="6" t="s">
        <v>42</v>
      </c>
      <c r="I527" s="6" t="s">
        <v>13</v>
      </c>
      <c r="J527" s="5">
        <v>45522.138194444444</v>
      </c>
      <c r="K527" s="7">
        <f t="shared" si="8"/>
        <v>2.3215277777781012</v>
      </c>
    </row>
    <row r="528" spans="1:11" x14ac:dyDescent="0.25">
      <c r="A528" s="5">
        <v>45520.526388888888</v>
      </c>
      <c r="B528" s="3" t="s">
        <v>4</v>
      </c>
      <c r="C528" s="3">
        <v>7810530001</v>
      </c>
      <c r="D528" s="3" t="s">
        <v>9</v>
      </c>
      <c r="E528" s="3" t="s">
        <v>26</v>
      </c>
      <c r="F528" s="3" t="s">
        <v>6</v>
      </c>
      <c r="G528" s="3"/>
      <c r="H528" s="6" t="s">
        <v>451</v>
      </c>
      <c r="I528" s="6" t="s">
        <v>14</v>
      </c>
      <c r="J528" s="5">
        <v>45520.538194444445</v>
      </c>
      <c r="K528" s="7">
        <f t="shared" si="8"/>
        <v>1.1805555557657499E-2</v>
      </c>
    </row>
    <row r="529" spans="1:11" x14ac:dyDescent="0.25">
      <c r="A529" s="5">
        <v>45520.782638888886</v>
      </c>
      <c r="B529" s="3" t="s">
        <v>456</v>
      </c>
      <c r="C529" s="3">
        <v>10000457640</v>
      </c>
      <c r="D529" s="3" t="s">
        <v>104</v>
      </c>
      <c r="E529" s="3" t="s">
        <v>242</v>
      </c>
      <c r="F529" s="3" t="s">
        <v>6</v>
      </c>
      <c r="G529" s="3"/>
      <c r="H529" s="6" t="s">
        <v>474</v>
      </c>
      <c r="I529" s="6" t="s">
        <v>14</v>
      </c>
      <c r="J529" s="5">
        <v>45525.451388888891</v>
      </c>
      <c r="K529" s="7">
        <f t="shared" si="8"/>
        <v>4.6687500000043656</v>
      </c>
    </row>
    <row r="530" spans="1:11" x14ac:dyDescent="0.25">
      <c r="A530" s="5">
        <v>45521.000694444447</v>
      </c>
      <c r="B530" s="3" t="s">
        <v>461</v>
      </c>
      <c r="C530" s="3">
        <v>6998930001</v>
      </c>
      <c r="D530" s="3" t="s">
        <v>9</v>
      </c>
      <c r="E530" s="3" t="s">
        <v>155</v>
      </c>
      <c r="F530" s="3" t="s">
        <v>6</v>
      </c>
      <c r="G530" s="3"/>
      <c r="H530" s="6" t="s">
        <v>462</v>
      </c>
      <c r="I530" s="6" t="s">
        <v>14</v>
      </c>
      <c r="J530" s="5">
        <v>45523.790972222225</v>
      </c>
      <c r="K530" s="7">
        <f t="shared" si="8"/>
        <v>2.7902777777781012</v>
      </c>
    </row>
    <row r="531" spans="1:11" x14ac:dyDescent="0.25">
      <c r="A531" s="5">
        <v>45521.285416666666</v>
      </c>
      <c r="B531" s="3" t="s">
        <v>4</v>
      </c>
      <c r="C531" s="3">
        <v>10000000824</v>
      </c>
      <c r="D531" s="3" t="s">
        <v>9</v>
      </c>
      <c r="E531" s="3" t="s">
        <v>149</v>
      </c>
      <c r="F531" s="3" t="s">
        <v>6</v>
      </c>
      <c r="G531" s="3"/>
      <c r="H531" s="6" t="s">
        <v>457</v>
      </c>
      <c r="I531" s="6" t="s">
        <v>14</v>
      </c>
      <c r="J531" s="5">
        <v>45521.343055555553</v>
      </c>
      <c r="K531" s="7">
        <f t="shared" si="8"/>
        <v>5.7638888887595385E-2</v>
      </c>
    </row>
    <row r="532" spans="1:11" x14ac:dyDescent="0.25">
      <c r="A532" s="5">
        <v>45521.470833333333</v>
      </c>
      <c r="B532" s="3" t="s">
        <v>4</v>
      </c>
      <c r="C532" s="3">
        <v>7810530001</v>
      </c>
      <c r="D532" s="3" t="s">
        <v>9</v>
      </c>
      <c r="E532" s="3" t="s">
        <v>26</v>
      </c>
      <c r="F532" s="3" t="s">
        <v>6</v>
      </c>
      <c r="G532" s="3"/>
      <c r="H532" s="6" t="s">
        <v>451</v>
      </c>
      <c r="I532" s="6" t="s">
        <v>14</v>
      </c>
      <c r="J532" s="5">
        <v>45522.820138888892</v>
      </c>
      <c r="K532" s="7">
        <f t="shared" si="8"/>
        <v>1.3493055555591127</v>
      </c>
    </row>
    <row r="533" spans="1:11" x14ac:dyDescent="0.25">
      <c r="A533" s="5">
        <v>45523.322916666664</v>
      </c>
      <c r="B533" s="3" t="s">
        <v>458</v>
      </c>
      <c r="C533" s="3">
        <v>10000000824</v>
      </c>
      <c r="D533" s="3" t="s">
        <v>9</v>
      </c>
      <c r="E533" s="3" t="s">
        <v>149</v>
      </c>
      <c r="F533" s="3" t="s">
        <v>6</v>
      </c>
      <c r="G533" s="3"/>
      <c r="H533" s="6" t="s">
        <v>463</v>
      </c>
      <c r="I533" s="6" t="s">
        <v>14</v>
      </c>
      <c r="J533" s="5">
        <v>45523.786805555559</v>
      </c>
      <c r="K533" s="7">
        <f t="shared" si="8"/>
        <v>0.46388888889487134</v>
      </c>
    </row>
    <row r="534" spans="1:11" x14ac:dyDescent="0.25">
      <c r="A534" s="5">
        <v>45523.354861111111</v>
      </c>
      <c r="B534" s="3" t="s">
        <v>4</v>
      </c>
      <c r="C534" s="3">
        <v>10000009996</v>
      </c>
      <c r="D534" s="3" t="s">
        <v>9</v>
      </c>
      <c r="E534" s="3" t="s">
        <v>92</v>
      </c>
      <c r="F534" s="3" t="s">
        <v>6</v>
      </c>
      <c r="G534" s="3"/>
      <c r="H534" s="6" t="s">
        <v>42</v>
      </c>
      <c r="I534" s="6" t="s">
        <v>13</v>
      </c>
      <c r="J534" s="5">
        <v>45523.374305555553</v>
      </c>
      <c r="K534" s="7">
        <f t="shared" si="8"/>
        <v>1.9444444442342501E-2</v>
      </c>
    </row>
    <row r="535" spans="1:11" x14ac:dyDescent="0.25">
      <c r="A535" s="5">
        <v>45523.379166666666</v>
      </c>
      <c r="B535" s="3" t="s">
        <v>4</v>
      </c>
      <c r="C535" s="3">
        <v>10000009996</v>
      </c>
      <c r="D535" s="3" t="s">
        <v>9</v>
      </c>
      <c r="E535" s="3" t="s">
        <v>92</v>
      </c>
      <c r="F535" s="3" t="s">
        <v>6</v>
      </c>
      <c r="G535" s="3"/>
      <c r="H535" s="6" t="s">
        <v>42</v>
      </c>
      <c r="I535" s="6" t="s">
        <v>13</v>
      </c>
      <c r="J535" s="5">
        <v>45523.81527777778</v>
      </c>
      <c r="K535" s="7">
        <f t="shared" si="8"/>
        <v>0.43611111111385981</v>
      </c>
    </row>
    <row r="536" spans="1:11" x14ac:dyDescent="0.25">
      <c r="A536" s="5">
        <v>45523.547222222223</v>
      </c>
      <c r="B536" s="3" t="s">
        <v>464</v>
      </c>
      <c r="C536" s="3">
        <v>6999040001</v>
      </c>
      <c r="D536" s="3" t="s">
        <v>10</v>
      </c>
      <c r="E536" s="3" t="s">
        <v>131</v>
      </c>
      <c r="F536" s="3" t="s">
        <v>6</v>
      </c>
      <c r="G536" s="3"/>
      <c r="H536" s="6" t="s">
        <v>465</v>
      </c>
      <c r="I536" s="6" t="s">
        <v>14</v>
      </c>
      <c r="J536" s="5">
        <v>45523.636111111111</v>
      </c>
      <c r="K536" s="7">
        <f t="shared" si="8"/>
        <v>8.8888888887595385E-2</v>
      </c>
    </row>
    <row r="537" spans="1:11" x14ac:dyDescent="0.25">
      <c r="A537" s="5">
        <v>45523.920138888891</v>
      </c>
      <c r="B537" s="3" t="s">
        <v>442</v>
      </c>
      <c r="C537" s="3">
        <v>10000000853</v>
      </c>
      <c r="D537" s="3" t="s">
        <v>9</v>
      </c>
      <c r="E537" s="3" t="s">
        <v>62</v>
      </c>
      <c r="F537" s="3" t="s">
        <v>6</v>
      </c>
      <c r="G537" s="3"/>
      <c r="H537" s="6" t="s">
        <v>488</v>
      </c>
      <c r="I537" s="6" t="s">
        <v>14</v>
      </c>
      <c r="J537" s="5">
        <v>45531.791666666664</v>
      </c>
      <c r="K537" s="7">
        <f t="shared" si="8"/>
        <v>7.8715277777737356</v>
      </c>
    </row>
    <row r="538" spans="1:11" x14ac:dyDescent="0.25">
      <c r="A538" s="5">
        <v>45524.213194444441</v>
      </c>
      <c r="B538" s="3" t="s">
        <v>466</v>
      </c>
      <c r="C538" s="3">
        <v>7810530001</v>
      </c>
      <c r="D538" s="3" t="s">
        <v>9</v>
      </c>
      <c r="E538" s="3" t="s">
        <v>26</v>
      </c>
      <c r="F538" s="3" t="s">
        <v>6</v>
      </c>
      <c r="G538" s="3"/>
      <c r="H538" s="6" t="s">
        <v>467</v>
      </c>
      <c r="I538" s="6" t="s">
        <v>14</v>
      </c>
      <c r="J538" s="5">
        <v>45524.493750000001</v>
      </c>
      <c r="K538" s="7">
        <f t="shared" si="8"/>
        <v>0.28055555556056788</v>
      </c>
    </row>
    <row r="539" spans="1:11" x14ac:dyDescent="0.25">
      <c r="A539" s="5">
        <v>45524.385416666664</v>
      </c>
      <c r="B539" s="3" t="s">
        <v>468</v>
      </c>
      <c r="C539" s="3">
        <v>10000271857</v>
      </c>
      <c r="D539" s="3" t="s">
        <v>45</v>
      </c>
      <c r="E539" s="3" t="s">
        <v>469</v>
      </c>
      <c r="F539" s="3" t="s">
        <v>6</v>
      </c>
      <c r="G539" s="3"/>
      <c r="H539" s="6" t="s">
        <v>487</v>
      </c>
      <c r="I539" s="6" t="s">
        <v>14</v>
      </c>
      <c r="J539" s="5">
        <v>45524.385416666664</v>
      </c>
      <c r="K539" s="7">
        <f t="shared" si="8"/>
        <v>0</v>
      </c>
    </row>
    <row r="540" spans="1:11" x14ac:dyDescent="0.25">
      <c r="A540" s="5">
        <v>45524.665972222225</v>
      </c>
      <c r="B540" s="3" t="s">
        <v>4</v>
      </c>
      <c r="C540" s="3">
        <v>10000347457</v>
      </c>
      <c r="D540" s="3" t="s">
        <v>9</v>
      </c>
      <c r="E540" s="3" t="s">
        <v>93</v>
      </c>
      <c r="F540" s="3" t="s">
        <v>6</v>
      </c>
      <c r="G540" s="3"/>
      <c r="H540" s="6" t="s">
        <v>42</v>
      </c>
      <c r="I540" s="6" t="s">
        <v>13</v>
      </c>
      <c r="J540" s="5">
        <v>45524.814583333333</v>
      </c>
      <c r="K540" s="7">
        <f t="shared" si="8"/>
        <v>0.14861111110803904</v>
      </c>
    </row>
    <row r="541" spans="1:11" x14ac:dyDescent="0.25">
      <c r="A541" s="5">
        <v>45525.09375</v>
      </c>
      <c r="B541" s="3" t="s">
        <v>4</v>
      </c>
      <c r="C541" s="3">
        <v>6935210001</v>
      </c>
      <c r="D541" s="3" t="s">
        <v>10</v>
      </c>
      <c r="E541" s="3" t="s">
        <v>112</v>
      </c>
      <c r="F541" s="3" t="s">
        <v>6</v>
      </c>
      <c r="G541" s="3"/>
      <c r="H541" s="6" t="s">
        <v>470</v>
      </c>
      <c r="I541" s="6" t="s">
        <v>14</v>
      </c>
      <c r="J541" s="5">
        <v>45525.09652777778</v>
      </c>
      <c r="K541" s="7">
        <f t="shared" si="8"/>
        <v>2.7777777795563452E-3</v>
      </c>
    </row>
    <row r="542" spans="1:11" x14ac:dyDescent="0.25">
      <c r="A542" s="5">
        <v>45525.375694444447</v>
      </c>
      <c r="B542" s="3" t="s">
        <v>471</v>
      </c>
      <c r="C542" s="3">
        <v>10000022234</v>
      </c>
      <c r="D542" s="3" t="s">
        <v>9</v>
      </c>
      <c r="E542" s="3" t="s">
        <v>100</v>
      </c>
      <c r="F542" s="3" t="s">
        <v>6</v>
      </c>
      <c r="G542" s="3"/>
      <c r="H542" s="6" t="s">
        <v>472</v>
      </c>
      <c r="I542" s="6" t="s">
        <v>14</v>
      </c>
      <c r="J542" s="5">
        <v>45525.525000000001</v>
      </c>
      <c r="K542" s="7">
        <f t="shared" si="8"/>
        <v>0.14930555555474712</v>
      </c>
    </row>
    <row r="543" spans="1:11" x14ac:dyDescent="0.25">
      <c r="A543" s="5">
        <v>45525.427777777775</v>
      </c>
      <c r="B543" s="3" t="s">
        <v>473</v>
      </c>
      <c r="C543" s="3">
        <v>7808270001</v>
      </c>
      <c r="D543" s="3" t="s">
        <v>9</v>
      </c>
      <c r="E543" s="3" t="s">
        <v>37</v>
      </c>
      <c r="F543" s="3" t="s">
        <v>6</v>
      </c>
      <c r="G543" s="3"/>
      <c r="H543" s="6" t="s">
        <v>475</v>
      </c>
      <c r="I543" s="6" t="s">
        <v>14</v>
      </c>
      <c r="J543" s="5">
        <v>45525.762499999997</v>
      </c>
      <c r="K543" s="7">
        <f t="shared" si="8"/>
        <v>0.33472222222189885</v>
      </c>
    </row>
    <row r="544" spans="1:11" x14ac:dyDescent="0.25">
      <c r="A544" s="5">
        <v>45525.588194444441</v>
      </c>
      <c r="B544" s="3" t="s">
        <v>4</v>
      </c>
      <c r="C544" s="3">
        <v>10000577752</v>
      </c>
      <c r="D544" s="3" t="s">
        <v>9</v>
      </c>
      <c r="E544" s="3" t="s">
        <v>21</v>
      </c>
      <c r="F544" s="3" t="s">
        <v>6</v>
      </c>
      <c r="G544" s="3"/>
      <c r="H544" s="6" t="s">
        <v>42</v>
      </c>
      <c r="I544" s="6" t="s">
        <v>13</v>
      </c>
      <c r="J544" s="5">
        <v>45525.631249999999</v>
      </c>
      <c r="K544" s="7">
        <f t="shared" si="8"/>
        <v>4.3055555557657499E-2</v>
      </c>
    </row>
    <row r="545" spans="1:11" x14ac:dyDescent="0.25">
      <c r="A545" s="5">
        <v>45526.532638888886</v>
      </c>
      <c r="B545" s="3" t="s">
        <v>476</v>
      </c>
      <c r="C545" s="3">
        <v>10000457638</v>
      </c>
      <c r="D545" s="3" t="s">
        <v>104</v>
      </c>
      <c r="E545" s="3" t="s">
        <v>107</v>
      </c>
      <c r="F545" s="3" t="s">
        <v>90</v>
      </c>
      <c r="G545" s="3"/>
      <c r="H545" s="6" t="s">
        <v>477</v>
      </c>
      <c r="I545" s="6" t="s">
        <v>14</v>
      </c>
      <c r="J545" s="5">
        <v>45526.630555555559</v>
      </c>
      <c r="K545" s="7">
        <f t="shared" si="8"/>
        <v>9.7916666672972497E-2</v>
      </c>
    </row>
    <row r="546" spans="1:11" x14ac:dyDescent="0.25">
      <c r="A546" s="5">
        <v>45526.826388888891</v>
      </c>
      <c r="B546" s="3" t="s">
        <v>4</v>
      </c>
      <c r="C546" s="3">
        <v>10000317748</v>
      </c>
      <c r="D546" s="3" t="s">
        <v>9</v>
      </c>
      <c r="E546" s="3" t="s">
        <v>265</v>
      </c>
      <c r="F546" s="3" t="s">
        <v>6</v>
      </c>
      <c r="G546" s="3"/>
      <c r="H546" s="6" t="s">
        <v>511</v>
      </c>
      <c r="I546" s="6" t="s">
        <v>13</v>
      </c>
      <c r="J546" s="5">
        <v>45544.579861111109</v>
      </c>
      <c r="K546" s="7">
        <f t="shared" si="8"/>
        <v>17.753472222218988</v>
      </c>
    </row>
    <row r="547" spans="1:11" x14ac:dyDescent="0.25">
      <c r="A547" s="5">
        <v>45527.462500000001</v>
      </c>
      <c r="B547" s="3" t="s">
        <v>4</v>
      </c>
      <c r="C547" s="3">
        <v>10000009996</v>
      </c>
      <c r="D547" s="3" t="s">
        <v>9</v>
      </c>
      <c r="E547" s="3" t="s">
        <v>92</v>
      </c>
      <c r="F547" s="3" t="s">
        <v>6</v>
      </c>
      <c r="G547" s="3"/>
      <c r="H547" s="6" t="s">
        <v>42</v>
      </c>
      <c r="I547" s="6" t="s">
        <v>13</v>
      </c>
      <c r="J547" s="5">
        <v>45527.46875</v>
      </c>
      <c r="K547" s="7">
        <f t="shared" si="8"/>
        <v>6.2499999985448085E-3</v>
      </c>
    </row>
    <row r="548" spans="1:11" x14ac:dyDescent="0.25">
      <c r="A548" s="5">
        <v>45527.480555555558</v>
      </c>
      <c r="B548" s="3" t="s">
        <v>4</v>
      </c>
      <c r="C548" s="3">
        <v>10000365255</v>
      </c>
      <c r="D548" s="3" t="s">
        <v>9</v>
      </c>
      <c r="E548" s="3" t="s">
        <v>394</v>
      </c>
      <c r="F548" s="3" t="s">
        <v>6</v>
      </c>
      <c r="G548" s="3"/>
      <c r="H548" s="6" t="s">
        <v>42</v>
      </c>
      <c r="I548" s="6" t="s">
        <v>13</v>
      </c>
      <c r="J548" s="5">
        <v>45527.482638888891</v>
      </c>
      <c r="K548" s="7">
        <f t="shared" si="8"/>
        <v>2.0833333328482695E-3</v>
      </c>
    </row>
    <row r="549" spans="1:11" x14ac:dyDescent="0.25">
      <c r="A549" s="5">
        <v>45527.48333333333</v>
      </c>
      <c r="B549" s="3" t="s">
        <v>4</v>
      </c>
      <c r="C549" s="3">
        <v>10000514345</v>
      </c>
      <c r="D549" s="3" t="s">
        <v>9</v>
      </c>
      <c r="E549" s="3" t="s">
        <v>11</v>
      </c>
      <c r="F549" s="3" t="s">
        <v>6</v>
      </c>
      <c r="G549" s="3"/>
      <c r="H549" s="6" t="s">
        <v>42</v>
      </c>
      <c r="I549" s="6" t="s">
        <v>13</v>
      </c>
      <c r="J549" s="5">
        <v>45527.486111111109</v>
      </c>
      <c r="K549" s="7">
        <f t="shared" si="8"/>
        <v>2.7777777795563452E-3</v>
      </c>
    </row>
    <row r="550" spans="1:11" x14ac:dyDescent="0.25">
      <c r="A550" s="5">
        <v>45527.571527777778</v>
      </c>
      <c r="B550" s="3" t="s">
        <v>4</v>
      </c>
      <c r="C550" s="3">
        <v>10000450331</v>
      </c>
      <c r="D550" s="3" t="s">
        <v>9</v>
      </c>
      <c r="E550" s="3" t="s">
        <v>217</v>
      </c>
      <c r="F550" s="3" t="s">
        <v>6</v>
      </c>
      <c r="G550" s="3"/>
      <c r="H550" s="6" t="s">
        <v>42</v>
      </c>
      <c r="I550" s="6" t="s">
        <v>13</v>
      </c>
      <c r="J550" s="5">
        <v>45527.743055555555</v>
      </c>
      <c r="K550" s="7">
        <f t="shared" si="8"/>
        <v>0.17152777777664596</v>
      </c>
    </row>
    <row r="551" spans="1:11" x14ac:dyDescent="0.25">
      <c r="A551" s="5">
        <v>45527.675000000003</v>
      </c>
      <c r="B551" s="3" t="s">
        <v>478</v>
      </c>
      <c r="C551" s="3">
        <v>10000000822</v>
      </c>
      <c r="D551" s="3" t="s">
        <v>9</v>
      </c>
      <c r="E551" s="3" t="s">
        <v>179</v>
      </c>
      <c r="F551" s="3" t="s">
        <v>6</v>
      </c>
      <c r="G551" s="3"/>
      <c r="H551" s="6" t="s">
        <v>479</v>
      </c>
      <c r="I551" s="6" t="s">
        <v>14</v>
      </c>
      <c r="J551" s="5">
        <v>45528.642361111109</v>
      </c>
      <c r="K551" s="7">
        <f t="shared" si="8"/>
        <v>0.96736111110658385</v>
      </c>
    </row>
    <row r="552" spans="1:11" x14ac:dyDescent="0.25">
      <c r="A552" s="5">
        <v>45527.675694444442</v>
      </c>
      <c r="B552" s="3" t="s">
        <v>480</v>
      </c>
      <c r="C552" s="3">
        <v>10000396994</v>
      </c>
      <c r="D552" s="3" t="s">
        <v>9</v>
      </c>
      <c r="E552" s="3" t="s">
        <v>338</v>
      </c>
      <c r="F552" s="3" t="s">
        <v>6</v>
      </c>
      <c r="G552" s="3"/>
      <c r="H552" s="6" t="s">
        <v>479</v>
      </c>
      <c r="I552" s="6" t="s">
        <v>14</v>
      </c>
      <c r="J552" s="5">
        <v>45528.636111111111</v>
      </c>
      <c r="K552" s="7">
        <f t="shared" si="8"/>
        <v>0.96041666666860692</v>
      </c>
    </row>
    <row r="553" spans="1:11" x14ac:dyDescent="0.25">
      <c r="A553" s="5">
        <v>45527.70416666667</v>
      </c>
      <c r="B553" s="3" t="s">
        <v>481</v>
      </c>
      <c r="C553" s="3">
        <v>6966100001</v>
      </c>
      <c r="D553" s="3" t="s">
        <v>10</v>
      </c>
      <c r="E553" s="3" t="s">
        <v>18</v>
      </c>
      <c r="F553" s="3" t="s">
        <v>6</v>
      </c>
      <c r="G553" s="3"/>
      <c r="H553" s="6" t="s">
        <v>486</v>
      </c>
      <c r="I553" s="6" t="s">
        <v>14</v>
      </c>
      <c r="J553" s="5">
        <v>45530.473611111112</v>
      </c>
      <c r="K553" s="7">
        <f t="shared" si="8"/>
        <v>2.7694444444423425</v>
      </c>
    </row>
    <row r="554" spans="1:11" x14ac:dyDescent="0.25">
      <c r="A554" s="5">
        <v>45528.020138888889</v>
      </c>
      <c r="B554" s="3" t="s">
        <v>4</v>
      </c>
      <c r="C554" s="3">
        <v>10000022240</v>
      </c>
      <c r="D554" s="3" t="s">
        <v>9</v>
      </c>
      <c r="E554" s="3" t="s">
        <v>263</v>
      </c>
      <c r="F554" s="3" t="s">
        <v>6</v>
      </c>
      <c r="G554" s="3"/>
      <c r="H554" s="6" t="s">
        <v>259</v>
      </c>
      <c r="I554" s="6" t="s">
        <v>14</v>
      </c>
      <c r="J554" s="5">
        <v>45528.025000000001</v>
      </c>
      <c r="K554" s="7">
        <f t="shared" si="8"/>
        <v>4.8611111124046147E-3</v>
      </c>
    </row>
    <row r="555" spans="1:11" x14ac:dyDescent="0.25">
      <c r="A555" s="5">
        <v>45528.021527777775</v>
      </c>
      <c r="B555" s="3" t="s">
        <v>4</v>
      </c>
      <c r="C555" s="3">
        <v>10000000824</v>
      </c>
      <c r="D555" s="3" t="s">
        <v>9</v>
      </c>
      <c r="E555" s="3" t="s">
        <v>149</v>
      </c>
      <c r="F555" s="3" t="s">
        <v>6</v>
      </c>
      <c r="G555" s="3"/>
      <c r="H555" s="6" t="s">
        <v>259</v>
      </c>
      <c r="I555" s="6" t="s">
        <v>14</v>
      </c>
      <c r="J555" s="5">
        <v>45528.023611111108</v>
      </c>
      <c r="K555" s="7">
        <f t="shared" si="8"/>
        <v>2.0833333328482695E-3</v>
      </c>
    </row>
    <row r="556" spans="1:11" x14ac:dyDescent="0.25">
      <c r="A556" s="5">
        <v>45529.384027777778</v>
      </c>
      <c r="B556" s="3" t="s">
        <v>482</v>
      </c>
      <c r="C556" s="3">
        <v>10000006824</v>
      </c>
      <c r="D556" s="3" t="s">
        <v>104</v>
      </c>
      <c r="E556" s="3" t="s">
        <v>185</v>
      </c>
      <c r="F556" s="3" t="s">
        <v>6</v>
      </c>
      <c r="G556" s="3"/>
      <c r="H556" s="6" t="s">
        <v>42</v>
      </c>
      <c r="I556" s="6" t="s">
        <v>13</v>
      </c>
      <c r="J556" s="5">
        <v>45529.430555555555</v>
      </c>
      <c r="K556" s="7">
        <f t="shared" si="8"/>
        <v>4.6527777776645962E-2</v>
      </c>
    </row>
    <row r="557" spans="1:11" x14ac:dyDescent="0.25">
      <c r="A557" s="5">
        <v>45529.553472222222</v>
      </c>
      <c r="B557" s="3" t="s">
        <v>4</v>
      </c>
      <c r="C557" s="3">
        <v>10000457640</v>
      </c>
      <c r="D557" s="3" t="s">
        <v>104</v>
      </c>
      <c r="E557" s="3" t="s">
        <v>242</v>
      </c>
      <c r="F557" s="3" t="s">
        <v>6</v>
      </c>
      <c r="G557" s="3"/>
      <c r="H557" s="6" t="s">
        <v>84</v>
      </c>
      <c r="I557" s="6" t="s">
        <v>14</v>
      </c>
      <c r="J557" s="5">
        <v>45529.618055555555</v>
      </c>
      <c r="K557" s="7">
        <f t="shared" si="8"/>
        <v>6.4583333332848269E-2</v>
      </c>
    </row>
    <row r="558" spans="1:11" x14ac:dyDescent="0.25">
      <c r="A558" s="5">
        <v>45529.595833333333</v>
      </c>
      <c r="B558" s="3" t="s">
        <v>4</v>
      </c>
      <c r="C558" s="3">
        <v>10000006824</v>
      </c>
      <c r="D558" s="3" t="s">
        <v>104</v>
      </c>
      <c r="E558" s="3" t="s">
        <v>185</v>
      </c>
      <c r="F558" s="3" t="s">
        <v>6</v>
      </c>
      <c r="G558" s="3"/>
      <c r="H558" s="6" t="s">
        <v>42</v>
      </c>
      <c r="I558" s="6" t="s">
        <v>13</v>
      </c>
      <c r="J558" s="5">
        <v>45529.628472222219</v>
      </c>
      <c r="K558" s="7">
        <f t="shared" si="8"/>
        <v>3.2638888886140194E-2</v>
      </c>
    </row>
    <row r="559" spans="1:11" x14ac:dyDescent="0.25">
      <c r="A559" s="5">
        <v>45529.696527777778</v>
      </c>
      <c r="B559" s="3" t="s">
        <v>4</v>
      </c>
      <c r="C559" s="3">
        <v>10000006824</v>
      </c>
      <c r="D559" s="3" t="s">
        <v>104</v>
      </c>
      <c r="E559" s="3" t="s">
        <v>185</v>
      </c>
      <c r="F559" s="3" t="s">
        <v>6</v>
      </c>
      <c r="G559" s="3"/>
      <c r="H559" s="6" t="s">
        <v>42</v>
      </c>
      <c r="I559" s="6" t="s">
        <v>13</v>
      </c>
      <c r="J559" s="5">
        <v>45529.725694444445</v>
      </c>
      <c r="K559" s="7">
        <f t="shared" si="8"/>
        <v>2.9166666667151731E-2</v>
      </c>
    </row>
    <row r="560" spans="1:11" x14ac:dyDescent="0.25">
      <c r="A560" s="5">
        <v>45530.987500000003</v>
      </c>
      <c r="B560" s="3" t="s">
        <v>4</v>
      </c>
      <c r="C560" s="3">
        <v>10000365255</v>
      </c>
      <c r="D560" s="3" t="s">
        <v>9</v>
      </c>
      <c r="E560" s="3" t="s">
        <v>394</v>
      </c>
      <c r="F560" s="3" t="s">
        <v>6</v>
      </c>
      <c r="G560" s="3"/>
      <c r="H560" s="6" t="s">
        <v>42</v>
      </c>
      <c r="I560" s="6" t="s">
        <v>13</v>
      </c>
      <c r="J560" s="5">
        <v>45530.996527777781</v>
      </c>
      <c r="K560" s="7">
        <f t="shared" si="8"/>
        <v>9.0277777781011537E-3</v>
      </c>
    </row>
    <row r="561" spans="1:11" x14ac:dyDescent="0.25">
      <c r="A561" s="5">
        <v>45531.03125</v>
      </c>
      <c r="B561" s="3" t="s">
        <v>483</v>
      </c>
      <c r="C561" s="3">
        <v>7808270001</v>
      </c>
      <c r="D561" s="3" t="s">
        <v>9</v>
      </c>
      <c r="E561" s="3" t="s">
        <v>37</v>
      </c>
      <c r="F561" s="3" t="s">
        <v>6</v>
      </c>
      <c r="G561" s="3"/>
      <c r="H561" s="6" t="s">
        <v>484</v>
      </c>
      <c r="I561" s="6" t="s">
        <v>14</v>
      </c>
      <c r="J561" s="5">
        <v>45531.361805555556</v>
      </c>
      <c r="K561" s="7">
        <f t="shared" si="8"/>
        <v>0.33055555555620231</v>
      </c>
    </row>
    <row r="562" spans="1:11" x14ac:dyDescent="0.25">
      <c r="A562" s="5">
        <v>45531.412499999999</v>
      </c>
      <c r="B562" s="3" t="s">
        <v>4</v>
      </c>
      <c r="C562" s="3">
        <v>10000011130</v>
      </c>
      <c r="D562" s="3" t="s">
        <v>17</v>
      </c>
      <c r="E562" s="3" t="s">
        <v>15</v>
      </c>
      <c r="F562" s="3" t="s">
        <v>6</v>
      </c>
      <c r="G562" s="3"/>
      <c r="H562" s="6" t="s">
        <v>485</v>
      </c>
      <c r="I562" s="6" t="s">
        <v>14</v>
      </c>
      <c r="J562" s="5">
        <v>45531.470138888886</v>
      </c>
      <c r="K562" s="7">
        <f t="shared" si="8"/>
        <v>5.7638888887595385E-2</v>
      </c>
    </row>
    <row r="563" spans="1:11" x14ac:dyDescent="0.25">
      <c r="A563" s="5">
        <v>45532.293749999997</v>
      </c>
      <c r="B563" s="3" t="s">
        <v>489</v>
      </c>
      <c r="C563" s="3">
        <v>10000006824</v>
      </c>
      <c r="D563" s="3" t="s">
        <v>104</v>
      </c>
      <c r="E563" s="3" t="s">
        <v>185</v>
      </c>
      <c r="F563" s="3" t="s">
        <v>6</v>
      </c>
      <c r="G563" s="3"/>
      <c r="H563" s="6" t="s">
        <v>490</v>
      </c>
      <c r="I563" s="6" t="s">
        <v>13</v>
      </c>
      <c r="J563" s="5">
        <v>45532.315972222219</v>
      </c>
      <c r="K563" s="7">
        <f t="shared" si="8"/>
        <v>2.2222222221898846E-2</v>
      </c>
    </row>
    <row r="564" spans="1:11" x14ac:dyDescent="0.25">
      <c r="A564" s="5">
        <v>45532.525000000001</v>
      </c>
      <c r="B564" s="3" t="s">
        <v>4</v>
      </c>
      <c r="C564" s="3">
        <v>10000379551</v>
      </c>
      <c r="D564" s="3" t="s">
        <v>10</v>
      </c>
      <c r="E564" s="3" t="s">
        <v>56</v>
      </c>
      <c r="F564" s="3" t="s">
        <v>6</v>
      </c>
      <c r="G564" s="3"/>
      <c r="H564" s="6" t="s">
        <v>490</v>
      </c>
      <c r="I564" s="6" t="s">
        <v>13</v>
      </c>
      <c r="J564" s="5">
        <v>45533.324999999997</v>
      </c>
      <c r="K564" s="7">
        <f t="shared" si="8"/>
        <v>0.79999999999563443</v>
      </c>
    </row>
    <row r="565" spans="1:11" x14ac:dyDescent="0.25">
      <c r="A565" s="5">
        <v>45532.655555555553</v>
      </c>
      <c r="B565" s="3" t="s">
        <v>439</v>
      </c>
      <c r="C565" s="3">
        <v>6999100001</v>
      </c>
      <c r="D565" s="3" t="s">
        <v>10</v>
      </c>
      <c r="E565" s="3" t="s">
        <v>95</v>
      </c>
      <c r="F565" s="3" t="s">
        <v>6</v>
      </c>
      <c r="G565" s="3"/>
      <c r="H565" s="6" t="s">
        <v>496</v>
      </c>
      <c r="I565" s="6" t="s">
        <v>14</v>
      </c>
      <c r="J565" s="5">
        <v>45534.275000000001</v>
      </c>
      <c r="K565" s="7">
        <f t="shared" si="8"/>
        <v>1.6194444444481633</v>
      </c>
    </row>
    <row r="566" spans="1:11" x14ac:dyDescent="0.25">
      <c r="A566" s="5">
        <v>45533.179166666669</v>
      </c>
      <c r="B566" s="3" t="s">
        <v>491</v>
      </c>
      <c r="C566" s="3">
        <v>10000457638</v>
      </c>
      <c r="D566" s="3" t="s">
        <v>104</v>
      </c>
      <c r="E566" s="3" t="s">
        <v>242</v>
      </c>
      <c r="F566" s="3" t="s">
        <v>6</v>
      </c>
      <c r="G566" s="3"/>
      <c r="H566" s="6" t="s">
        <v>42</v>
      </c>
      <c r="I566" s="6" t="s">
        <v>13</v>
      </c>
      <c r="J566" s="5">
        <v>45533.18472222222</v>
      </c>
      <c r="K566" s="7">
        <f t="shared" si="8"/>
        <v>5.5555555518367328E-3</v>
      </c>
    </row>
    <row r="567" spans="1:11" x14ac:dyDescent="0.25">
      <c r="A567" s="5">
        <v>45533.32916666667</v>
      </c>
      <c r="B567" s="3" t="s">
        <v>4</v>
      </c>
      <c r="C567" s="3">
        <v>10000379551</v>
      </c>
      <c r="D567" s="3" t="s">
        <v>10</v>
      </c>
      <c r="E567" s="3" t="s">
        <v>56</v>
      </c>
      <c r="F567" s="3" t="s">
        <v>6</v>
      </c>
      <c r="G567" s="3"/>
      <c r="H567" s="6" t="s">
        <v>490</v>
      </c>
      <c r="I567" s="6" t="s">
        <v>13</v>
      </c>
      <c r="J567" s="5">
        <v>45533.367361111108</v>
      </c>
      <c r="K567" s="7">
        <f t="shared" si="8"/>
        <v>3.8194444437976927E-2</v>
      </c>
    </row>
    <row r="568" spans="1:11" x14ac:dyDescent="0.25">
      <c r="A568" s="5">
        <v>45533.472916666666</v>
      </c>
      <c r="B568" s="3" t="s">
        <v>4</v>
      </c>
      <c r="C568" s="3">
        <v>10000514345</v>
      </c>
      <c r="D568" s="3" t="s">
        <v>9</v>
      </c>
      <c r="E568" s="3" t="s">
        <v>11</v>
      </c>
      <c r="F568" s="3" t="s">
        <v>6</v>
      </c>
      <c r="G568" s="3"/>
      <c r="H568" s="6" t="s">
        <v>493</v>
      </c>
      <c r="I568" s="6" t="s">
        <v>14</v>
      </c>
      <c r="J568" s="5">
        <v>45533.474999999999</v>
      </c>
      <c r="K568" s="7">
        <f t="shared" si="8"/>
        <v>2.0833333328482695E-3</v>
      </c>
    </row>
    <row r="569" spans="1:11" x14ac:dyDescent="0.25">
      <c r="A569" s="5">
        <v>45533.486805555556</v>
      </c>
      <c r="B569" s="3" t="s">
        <v>4</v>
      </c>
      <c r="C569" s="3">
        <v>10000514345</v>
      </c>
      <c r="D569" s="3" t="s">
        <v>9</v>
      </c>
      <c r="E569" s="3" t="s">
        <v>11</v>
      </c>
      <c r="F569" s="3" t="s">
        <v>6</v>
      </c>
      <c r="G569" s="3"/>
      <c r="H569" s="6" t="s">
        <v>493</v>
      </c>
      <c r="I569" s="6" t="s">
        <v>14</v>
      </c>
      <c r="J569" s="5">
        <v>45533.50277777778</v>
      </c>
      <c r="K569" s="7">
        <f t="shared" si="8"/>
        <v>1.5972222223354038E-2</v>
      </c>
    </row>
    <row r="570" spans="1:11" x14ac:dyDescent="0.25">
      <c r="A570" s="5">
        <v>45533.802083333336</v>
      </c>
      <c r="B570" s="3" t="s">
        <v>4</v>
      </c>
      <c r="C570" s="3">
        <v>10000004781</v>
      </c>
      <c r="D570" s="3" t="s">
        <v>45</v>
      </c>
      <c r="E570" s="3" t="s">
        <v>44</v>
      </c>
      <c r="F570" s="3" t="s">
        <v>6</v>
      </c>
      <c r="G570" s="3"/>
      <c r="H570" s="6" t="s">
        <v>42</v>
      </c>
      <c r="I570" s="6" t="s">
        <v>13</v>
      </c>
      <c r="J570" s="5">
        <v>45533.804166666669</v>
      </c>
      <c r="K570" s="7">
        <f t="shared" si="8"/>
        <v>2.0833333328482695E-3</v>
      </c>
    </row>
    <row r="571" spans="1:11" x14ac:dyDescent="0.25">
      <c r="A571" s="5">
        <v>45534.603472222225</v>
      </c>
      <c r="B571" s="3" t="s">
        <v>4</v>
      </c>
      <c r="C571" s="3">
        <v>10000011130</v>
      </c>
      <c r="D571" s="3" t="s">
        <v>17</v>
      </c>
      <c r="E571" s="3" t="s">
        <v>15</v>
      </c>
      <c r="F571" s="3" t="s">
        <v>6</v>
      </c>
      <c r="G571" s="3"/>
      <c r="H571" s="6" t="s">
        <v>42</v>
      </c>
      <c r="I571" s="6" t="s">
        <v>13</v>
      </c>
      <c r="J571" s="5">
        <v>45534.632638888892</v>
      </c>
      <c r="K571" s="7">
        <f t="shared" si="8"/>
        <v>2.9166666667151731E-2</v>
      </c>
    </row>
    <row r="572" spans="1:11" x14ac:dyDescent="0.25">
      <c r="A572" s="5">
        <v>45535.323611111111</v>
      </c>
      <c r="B572" s="3" t="s">
        <v>494</v>
      </c>
      <c r="C572" s="3">
        <v>10000058625</v>
      </c>
      <c r="D572" s="3" t="s">
        <v>9</v>
      </c>
      <c r="E572" s="3" t="s">
        <v>41</v>
      </c>
      <c r="F572" s="3" t="s">
        <v>6</v>
      </c>
      <c r="G572" s="3"/>
      <c r="H572" s="6" t="s">
        <v>495</v>
      </c>
      <c r="I572" s="6" t="s">
        <v>14</v>
      </c>
      <c r="J572" s="5">
        <v>45535.685416666667</v>
      </c>
      <c r="K572" s="7">
        <f t="shared" si="8"/>
        <v>0.36180555555620231</v>
      </c>
    </row>
    <row r="573" spans="1:11" x14ac:dyDescent="0.25">
      <c r="A573" s="5">
        <v>45536.336805555555</v>
      </c>
      <c r="B573" s="3" t="s">
        <v>4</v>
      </c>
      <c r="C573" s="3">
        <v>10000081665</v>
      </c>
      <c r="D573" s="3" t="s">
        <v>10</v>
      </c>
      <c r="E573" s="3" t="s">
        <v>49</v>
      </c>
      <c r="F573" s="3" t="s">
        <v>6</v>
      </c>
      <c r="G573" s="3"/>
      <c r="H573" s="6" t="s">
        <v>42</v>
      </c>
      <c r="I573" s="6" t="s">
        <v>13</v>
      </c>
      <c r="J573" s="5">
        <v>45536.354861111111</v>
      </c>
      <c r="K573" s="7">
        <f t="shared" si="8"/>
        <v>1.8055555556202307E-2</v>
      </c>
    </row>
    <row r="574" spans="1:11" x14ac:dyDescent="0.25">
      <c r="A574" s="5">
        <v>45536.519444444442</v>
      </c>
      <c r="B574" s="3" t="s">
        <v>621</v>
      </c>
      <c r="C574" s="3">
        <v>10000372573</v>
      </c>
      <c r="D574" s="3" t="s">
        <v>10</v>
      </c>
      <c r="E574" s="3" t="s">
        <v>64</v>
      </c>
      <c r="F574" s="3" t="s">
        <v>622</v>
      </c>
      <c r="G574" s="3"/>
      <c r="H574" s="6" t="s">
        <v>623</v>
      </c>
      <c r="I574" s="6" t="s">
        <v>14</v>
      </c>
      <c r="J574" s="5">
        <v>45537.76666666667</v>
      </c>
      <c r="K574" s="7">
        <f t="shared" si="8"/>
        <v>1.2472222222277196</v>
      </c>
    </row>
    <row r="575" spans="1:11" x14ac:dyDescent="0.25">
      <c r="A575" s="5">
        <v>45538.47152777778</v>
      </c>
      <c r="B575" s="3" t="s">
        <v>4</v>
      </c>
      <c r="C575" s="3">
        <v>10000011130</v>
      </c>
      <c r="D575" s="3" t="s">
        <v>17</v>
      </c>
      <c r="E575" s="3" t="s">
        <v>15</v>
      </c>
      <c r="F575" s="3" t="s">
        <v>6</v>
      </c>
      <c r="G575" s="3"/>
      <c r="H575" s="6" t="s">
        <v>42</v>
      </c>
      <c r="I575" s="6" t="s">
        <v>13</v>
      </c>
      <c r="J575" s="5">
        <v>45538.480555555558</v>
      </c>
      <c r="K575" s="7">
        <f t="shared" si="8"/>
        <v>9.0277777781011537E-3</v>
      </c>
    </row>
    <row r="576" spans="1:11" x14ac:dyDescent="0.25">
      <c r="A576" s="5">
        <v>45540.568055555559</v>
      </c>
      <c r="B576" s="3" t="s">
        <v>4</v>
      </c>
      <c r="C576" s="3">
        <v>10000581383</v>
      </c>
      <c r="D576" s="3" t="s">
        <v>10</v>
      </c>
      <c r="E576" s="3" t="s">
        <v>153</v>
      </c>
      <c r="F576" s="3" t="s">
        <v>51</v>
      </c>
      <c r="G576" s="3"/>
      <c r="H576" s="6" t="s">
        <v>497</v>
      </c>
      <c r="I576" s="6" t="s">
        <v>13</v>
      </c>
      <c r="J576" s="5">
        <v>45540.650694444441</v>
      </c>
      <c r="K576" s="7">
        <f t="shared" si="8"/>
        <v>8.2638888881774619E-2</v>
      </c>
    </row>
    <row r="577" spans="1:11" x14ac:dyDescent="0.25">
      <c r="A577" s="5">
        <v>45541.01458333333</v>
      </c>
      <c r="B577" s="3" t="s">
        <v>4</v>
      </c>
      <c r="C577" s="3">
        <v>10000270555</v>
      </c>
      <c r="D577" s="3" t="s">
        <v>45</v>
      </c>
      <c r="E577" s="3" t="s">
        <v>498</v>
      </c>
      <c r="F577" s="3" t="s">
        <v>6</v>
      </c>
      <c r="G577" s="3"/>
      <c r="H577" s="6" t="s">
        <v>499</v>
      </c>
      <c r="I577" s="6" t="s">
        <v>14</v>
      </c>
      <c r="J577" s="5">
        <v>45541.020138888889</v>
      </c>
      <c r="K577" s="7">
        <f t="shared" si="8"/>
        <v>5.5555555591126904E-3</v>
      </c>
    </row>
    <row r="578" spans="1:11" x14ac:dyDescent="0.25">
      <c r="A578" s="5">
        <v>45541.015277777777</v>
      </c>
      <c r="B578" s="3" t="s">
        <v>4</v>
      </c>
      <c r="C578" s="3">
        <v>7874420002</v>
      </c>
      <c r="D578" s="3" t="s">
        <v>134</v>
      </c>
      <c r="E578" s="3" t="s">
        <v>500</v>
      </c>
      <c r="F578" s="3" t="s">
        <v>6</v>
      </c>
      <c r="G578" s="3"/>
      <c r="H578" s="6" t="s">
        <v>499</v>
      </c>
      <c r="I578" s="6" t="s">
        <v>14</v>
      </c>
      <c r="J578" s="5">
        <v>45541.018750000003</v>
      </c>
      <c r="K578" s="7">
        <f t="shared" si="8"/>
        <v>3.4722222262644209E-3</v>
      </c>
    </row>
    <row r="579" spans="1:11" x14ac:dyDescent="0.25">
      <c r="A579" s="5">
        <v>45541.595138888886</v>
      </c>
      <c r="B579" s="3" t="s">
        <v>501</v>
      </c>
      <c r="C579" s="3">
        <v>10000365255</v>
      </c>
      <c r="D579" s="3" t="s">
        <v>9</v>
      </c>
      <c r="E579" s="3" t="s">
        <v>394</v>
      </c>
      <c r="F579" s="3" t="s">
        <v>6</v>
      </c>
      <c r="G579" s="3"/>
      <c r="H579" s="6" t="s">
        <v>42</v>
      </c>
      <c r="I579" s="6" t="s">
        <v>13</v>
      </c>
      <c r="J579" s="5">
        <v>45541.643750000003</v>
      </c>
      <c r="K579" s="7">
        <f t="shared" si="8"/>
        <v>4.8611111116770189E-2</v>
      </c>
    </row>
    <row r="580" spans="1:11" x14ac:dyDescent="0.25">
      <c r="A580" s="5">
        <v>45541.622916666667</v>
      </c>
      <c r="B580" s="3" t="s">
        <v>502</v>
      </c>
      <c r="C580" s="3">
        <v>7853300001</v>
      </c>
      <c r="D580" s="3" t="s">
        <v>9</v>
      </c>
      <c r="E580" s="3" t="s">
        <v>19</v>
      </c>
      <c r="F580" s="3" t="s">
        <v>6</v>
      </c>
      <c r="G580" s="3"/>
      <c r="H580" s="6" t="s">
        <v>503</v>
      </c>
      <c r="I580" s="6" t="s">
        <v>14</v>
      </c>
      <c r="J580" s="5">
        <v>45541.730555555558</v>
      </c>
      <c r="K580" s="7">
        <f t="shared" si="8"/>
        <v>0.10763888889050577</v>
      </c>
    </row>
    <row r="581" spans="1:11" x14ac:dyDescent="0.25">
      <c r="A581" s="5">
        <v>45542.423611111109</v>
      </c>
      <c r="B581" s="3" t="s">
        <v>4</v>
      </c>
      <c r="C581" s="3">
        <v>10000583588</v>
      </c>
      <c r="D581" s="3" t="s">
        <v>45</v>
      </c>
      <c r="E581" s="3" t="s">
        <v>44</v>
      </c>
      <c r="F581" s="3" t="s">
        <v>6</v>
      </c>
      <c r="G581" s="3"/>
      <c r="H581" s="6" t="s">
        <v>42</v>
      </c>
      <c r="I581" s="6" t="s">
        <v>13</v>
      </c>
      <c r="J581" s="5">
        <v>45542.429166666669</v>
      </c>
      <c r="K581" s="7">
        <f t="shared" si="8"/>
        <v>5.5555555591126904E-3</v>
      </c>
    </row>
    <row r="582" spans="1:11" x14ac:dyDescent="0.25">
      <c r="A582" s="5">
        <v>45542.551388888889</v>
      </c>
      <c r="B582" s="3" t="s">
        <v>504</v>
      </c>
      <c r="C582" s="3">
        <v>6999100001</v>
      </c>
      <c r="D582" s="3" t="s">
        <v>10</v>
      </c>
      <c r="E582" s="3" t="s">
        <v>95</v>
      </c>
      <c r="F582" s="3" t="s">
        <v>6</v>
      </c>
      <c r="G582" s="3"/>
      <c r="H582" s="6" t="s">
        <v>508</v>
      </c>
      <c r="I582" s="6" t="s">
        <v>14</v>
      </c>
      <c r="J582" s="5">
        <v>45544.46597222222</v>
      </c>
      <c r="K582" s="7">
        <f t="shared" si="8"/>
        <v>1.9145833333313931</v>
      </c>
    </row>
    <row r="583" spans="1:11" x14ac:dyDescent="0.25">
      <c r="A583" s="5">
        <v>45542.917361111111</v>
      </c>
      <c r="B583" s="3" t="s">
        <v>505</v>
      </c>
      <c r="C583" s="3">
        <v>10000022234</v>
      </c>
      <c r="D583" s="3" t="s">
        <v>9</v>
      </c>
      <c r="E583" s="3" t="s">
        <v>100</v>
      </c>
      <c r="F583" s="3" t="s">
        <v>6</v>
      </c>
      <c r="G583" s="3"/>
      <c r="H583" s="6" t="s">
        <v>506</v>
      </c>
      <c r="I583" s="6" t="s">
        <v>14</v>
      </c>
      <c r="J583" s="5">
        <v>45543.121527777781</v>
      </c>
      <c r="K583" s="7">
        <f t="shared" ref="K583:K683" si="9">J583-A583</f>
        <v>0.20416666667006211</v>
      </c>
    </row>
    <row r="584" spans="1:11" x14ac:dyDescent="0.25">
      <c r="A584" s="5">
        <v>45543.336805555555</v>
      </c>
      <c r="B584" s="3" t="s">
        <v>4</v>
      </c>
      <c r="C584" s="3">
        <v>10000081665</v>
      </c>
      <c r="D584" s="3" t="s">
        <v>10</v>
      </c>
      <c r="E584" s="3" t="s">
        <v>49</v>
      </c>
      <c r="F584" s="3" t="s">
        <v>6</v>
      </c>
      <c r="G584" s="3"/>
      <c r="H584" s="6" t="s">
        <v>42</v>
      </c>
      <c r="I584" s="6" t="s">
        <v>13</v>
      </c>
      <c r="J584" s="5">
        <v>45543.351388888892</v>
      </c>
      <c r="K584" s="7">
        <f t="shared" si="9"/>
        <v>1.4583333337213844E-2</v>
      </c>
    </row>
    <row r="585" spans="1:11" x14ac:dyDescent="0.25">
      <c r="A585" s="5">
        <v>45543.667361111111</v>
      </c>
      <c r="B585" s="3" t="s">
        <v>507</v>
      </c>
      <c r="C585" s="3">
        <v>10000000822</v>
      </c>
      <c r="D585" s="3" t="s">
        <v>9</v>
      </c>
      <c r="E585" s="3" t="s">
        <v>179</v>
      </c>
      <c r="F585" s="3" t="s">
        <v>6</v>
      </c>
      <c r="G585" s="3"/>
      <c r="H585" s="6" t="s">
        <v>42</v>
      </c>
      <c r="I585" s="6" t="s">
        <v>13</v>
      </c>
      <c r="J585" s="5">
        <v>45543.729166666664</v>
      </c>
      <c r="K585" s="7">
        <f t="shared" si="9"/>
        <v>6.1805555553291924E-2</v>
      </c>
    </row>
    <row r="586" spans="1:11" x14ac:dyDescent="0.25">
      <c r="A586" s="5">
        <v>45544.444444444445</v>
      </c>
      <c r="B586" s="3" t="s">
        <v>4</v>
      </c>
      <c r="C586" s="3">
        <v>6935210001</v>
      </c>
      <c r="D586" s="3" t="s">
        <v>10</v>
      </c>
      <c r="E586" s="3" t="s">
        <v>112</v>
      </c>
      <c r="F586" s="3" t="s">
        <v>6</v>
      </c>
      <c r="G586" s="3"/>
      <c r="H586" s="6" t="s">
        <v>101</v>
      </c>
      <c r="I586" s="6" t="s">
        <v>14</v>
      </c>
      <c r="J586" s="5">
        <v>45544.447222222225</v>
      </c>
      <c r="K586" s="7">
        <f t="shared" si="9"/>
        <v>2.7777777795563452E-3</v>
      </c>
    </row>
    <row r="587" spans="1:11" x14ac:dyDescent="0.25">
      <c r="A587" s="5">
        <v>45544.513888888891</v>
      </c>
      <c r="B587" s="3" t="s">
        <v>4</v>
      </c>
      <c r="C587" s="3">
        <v>6999070001</v>
      </c>
      <c r="D587" s="3" t="s">
        <v>10</v>
      </c>
      <c r="E587" s="3" t="s">
        <v>86</v>
      </c>
      <c r="F587" s="3" t="s">
        <v>6</v>
      </c>
      <c r="G587" s="3"/>
      <c r="H587" s="6" t="s">
        <v>509</v>
      </c>
      <c r="I587" s="6" t="s">
        <v>14</v>
      </c>
      <c r="J587" s="5">
        <v>45544.550694444442</v>
      </c>
      <c r="K587" s="7">
        <f t="shared" si="9"/>
        <v>3.6805555551836733E-2</v>
      </c>
    </row>
    <row r="588" spans="1:11" ht="30" x14ac:dyDescent="0.25">
      <c r="A588" s="5">
        <v>45545.087500000001</v>
      </c>
      <c r="B588" s="3" t="s">
        <v>4</v>
      </c>
      <c r="C588" s="3">
        <v>10000514345</v>
      </c>
      <c r="D588" s="3" t="s">
        <v>9</v>
      </c>
      <c r="E588" s="3" t="s">
        <v>11</v>
      </c>
      <c r="F588" s="3" t="s">
        <v>6</v>
      </c>
      <c r="G588" s="3"/>
      <c r="H588" s="6" t="s">
        <v>510</v>
      </c>
      <c r="I588" s="6" t="s">
        <v>14</v>
      </c>
      <c r="J588" s="5">
        <v>45545.089583333334</v>
      </c>
      <c r="K588" s="7">
        <f t="shared" si="9"/>
        <v>2.0833333328482695E-3</v>
      </c>
    </row>
    <row r="589" spans="1:11" x14ac:dyDescent="0.25">
      <c r="A589" s="5">
        <v>45546.406944444447</v>
      </c>
      <c r="B589" s="3" t="s">
        <v>4</v>
      </c>
      <c r="C589" s="3">
        <v>7808270001</v>
      </c>
      <c r="D589" s="3" t="s">
        <v>9</v>
      </c>
      <c r="E589" s="3" t="s">
        <v>37</v>
      </c>
      <c r="F589" s="3" t="s">
        <v>6</v>
      </c>
      <c r="G589" s="3"/>
      <c r="H589" s="6" t="s">
        <v>512</v>
      </c>
      <c r="I589" s="6" t="s">
        <v>13</v>
      </c>
      <c r="J589" s="5">
        <v>45546.504166666666</v>
      </c>
      <c r="K589" s="7">
        <f t="shared" si="9"/>
        <v>9.7222222218988463E-2</v>
      </c>
    </row>
    <row r="590" spans="1:11" x14ac:dyDescent="0.25">
      <c r="A590" s="5">
        <v>45546.4375</v>
      </c>
      <c r="B590" s="3" t="s">
        <v>513</v>
      </c>
      <c r="C590" s="3">
        <v>7096170001</v>
      </c>
      <c r="D590" s="3" t="s">
        <v>9</v>
      </c>
      <c r="E590" s="3" t="s">
        <v>514</v>
      </c>
      <c r="F590" s="3" t="s">
        <v>382</v>
      </c>
      <c r="G590" s="3"/>
      <c r="H590" s="6" t="s">
        <v>515</v>
      </c>
      <c r="I590" s="6" t="s">
        <v>14</v>
      </c>
      <c r="J590" s="5">
        <v>45547.750694444447</v>
      </c>
      <c r="K590" s="7">
        <f t="shared" si="9"/>
        <v>1.3131944444467081</v>
      </c>
    </row>
    <row r="591" spans="1:11" x14ac:dyDescent="0.25">
      <c r="A591" s="5">
        <v>45546.443055555559</v>
      </c>
      <c r="B591" s="3" t="s">
        <v>4</v>
      </c>
      <c r="C591" s="3">
        <v>10000583588</v>
      </c>
      <c r="D591" s="3" t="s">
        <v>45</v>
      </c>
      <c r="E591" s="3" t="s">
        <v>44</v>
      </c>
      <c r="F591" s="3" t="s">
        <v>6</v>
      </c>
      <c r="G591" s="3"/>
      <c r="H591" s="6" t="s">
        <v>42</v>
      </c>
      <c r="I591" s="6" t="s">
        <v>13</v>
      </c>
      <c r="J591" s="5">
        <v>45546.443749999999</v>
      </c>
      <c r="K591" s="7">
        <f t="shared" si="9"/>
        <v>6.9444443943211809E-4</v>
      </c>
    </row>
    <row r="592" spans="1:11" x14ac:dyDescent="0.25">
      <c r="A592" s="5">
        <v>45546.836805555555</v>
      </c>
      <c r="B592" s="3" t="s">
        <v>4</v>
      </c>
      <c r="C592" s="3">
        <v>10000583588</v>
      </c>
      <c r="D592" s="3" t="s">
        <v>45</v>
      </c>
      <c r="E592" s="3" t="s">
        <v>44</v>
      </c>
      <c r="F592" s="3" t="s">
        <v>6</v>
      </c>
      <c r="G592" s="3"/>
      <c r="H592" s="6" t="s">
        <v>42</v>
      </c>
      <c r="I592" s="6" t="s">
        <v>13</v>
      </c>
      <c r="J592" s="5">
        <v>45546.838888888888</v>
      </c>
      <c r="K592" s="7">
        <f t="shared" si="9"/>
        <v>2.0833333328482695E-3</v>
      </c>
    </row>
    <row r="593" spans="1:11" x14ac:dyDescent="0.25">
      <c r="A593" s="5">
        <v>45547.500694444447</v>
      </c>
      <c r="B593" s="3" t="s">
        <v>4</v>
      </c>
      <c r="C593" s="3">
        <v>10000514345</v>
      </c>
      <c r="D593" s="3" t="s">
        <v>9</v>
      </c>
      <c r="E593" s="3" t="s">
        <v>11</v>
      </c>
      <c r="F593" s="3" t="s">
        <v>6</v>
      </c>
      <c r="G593" s="3"/>
      <c r="H593" s="6" t="s">
        <v>42</v>
      </c>
      <c r="I593" s="6" t="s">
        <v>13</v>
      </c>
      <c r="J593" s="5">
        <v>45558.506249999999</v>
      </c>
      <c r="K593" s="7">
        <f t="shared" si="9"/>
        <v>11.005555555551837</v>
      </c>
    </row>
    <row r="594" spans="1:11" x14ac:dyDescent="0.25">
      <c r="A594" s="5">
        <v>45548.443749999999</v>
      </c>
      <c r="B594" s="3" t="s">
        <v>4</v>
      </c>
      <c r="C594" s="3">
        <v>10000011130</v>
      </c>
      <c r="D594" s="3" t="s">
        <v>17</v>
      </c>
      <c r="E594" s="3" t="s">
        <v>15</v>
      </c>
      <c r="F594" s="3" t="s">
        <v>6</v>
      </c>
      <c r="G594" s="3"/>
      <c r="H594" s="6" t="s">
        <v>42</v>
      </c>
      <c r="I594" s="6" t="s">
        <v>13</v>
      </c>
      <c r="J594" s="5">
        <v>45548.570138888892</v>
      </c>
      <c r="K594" s="7">
        <f t="shared" si="9"/>
        <v>0.12638888889341615</v>
      </c>
    </row>
    <row r="595" spans="1:11" x14ac:dyDescent="0.25">
      <c r="A595" s="5">
        <v>45549.430555555555</v>
      </c>
      <c r="B595" s="3" t="s">
        <v>4</v>
      </c>
      <c r="C595" s="3">
        <v>10000583588</v>
      </c>
      <c r="D595" s="3" t="s">
        <v>45</v>
      </c>
      <c r="E595" s="3" t="s">
        <v>44</v>
      </c>
      <c r="F595" s="3" t="s">
        <v>6</v>
      </c>
      <c r="G595" s="3"/>
      <c r="H595" s="6" t="s">
        <v>42</v>
      </c>
      <c r="I595" s="6" t="s">
        <v>13</v>
      </c>
      <c r="J595" s="5">
        <v>45549.432638888888</v>
      </c>
      <c r="K595" s="7">
        <f t="shared" si="9"/>
        <v>2.0833333328482695E-3</v>
      </c>
    </row>
    <row r="596" spans="1:11" x14ac:dyDescent="0.25">
      <c r="A596" s="5">
        <v>45550.497916666667</v>
      </c>
      <c r="B596" s="3" t="s">
        <v>516</v>
      </c>
      <c r="C596" s="3">
        <v>10000457640</v>
      </c>
      <c r="D596" s="3" t="s">
        <v>104</v>
      </c>
      <c r="E596" s="3" t="s">
        <v>242</v>
      </c>
      <c r="F596" s="3" t="s">
        <v>6</v>
      </c>
      <c r="G596" s="3"/>
      <c r="H596" s="6" t="s">
        <v>518</v>
      </c>
      <c r="I596" s="6" t="s">
        <v>14</v>
      </c>
      <c r="J596" s="5">
        <v>45550.541666666664</v>
      </c>
      <c r="K596" s="7">
        <f t="shared" si="9"/>
        <v>4.3749999997089617E-2</v>
      </c>
    </row>
    <row r="597" spans="1:11" x14ac:dyDescent="0.25">
      <c r="A597" s="5">
        <v>45550.539583333331</v>
      </c>
      <c r="B597" s="3" t="s">
        <v>4</v>
      </c>
      <c r="C597" s="3">
        <v>10000577752</v>
      </c>
      <c r="D597" s="3" t="s">
        <v>9</v>
      </c>
      <c r="E597" s="3" t="s">
        <v>21</v>
      </c>
      <c r="F597" s="3" t="s">
        <v>6</v>
      </c>
      <c r="G597" s="3"/>
      <c r="H597" s="6" t="s">
        <v>42</v>
      </c>
      <c r="I597" s="6" t="s">
        <v>13</v>
      </c>
      <c r="J597" s="5">
        <v>45550.56527777778</v>
      </c>
      <c r="K597" s="7">
        <f t="shared" si="9"/>
        <v>2.5694444448163267E-2</v>
      </c>
    </row>
    <row r="598" spans="1:11" x14ac:dyDescent="0.25">
      <c r="A598" s="5">
        <v>45550.618055555555</v>
      </c>
      <c r="B598" s="3" t="s">
        <v>517</v>
      </c>
      <c r="C598" s="3">
        <v>6966100001</v>
      </c>
      <c r="D598" s="3" t="s">
        <v>10</v>
      </c>
      <c r="E598" s="3" t="s">
        <v>18</v>
      </c>
      <c r="F598" s="3" t="s">
        <v>6</v>
      </c>
      <c r="G598" s="3"/>
      <c r="H598" s="6" t="s">
        <v>520</v>
      </c>
      <c r="I598" s="6" t="s">
        <v>14</v>
      </c>
      <c r="J598" s="5">
        <v>45551.647222222222</v>
      </c>
      <c r="K598" s="7">
        <f t="shared" si="9"/>
        <v>1.0291666666671517</v>
      </c>
    </row>
    <row r="599" spans="1:11" x14ac:dyDescent="0.25">
      <c r="A599" s="5">
        <v>45551.50277777778</v>
      </c>
      <c r="B599" s="3" t="s">
        <v>4</v>
      </c>
      <c r="C599" s="3">
        <v>6999100001</v>
      </c>
      <c r="D599" s="3" t="s">
        <v>10</v>
      </c>
      <c r="E599" s="3" t="s">
        <v>95</v>
      </c>
      <c r="F599" s="3" t="s">
        <v>6</v>
      </c>
      <c r="G599" s="3"/>
      <c r="H599" s="6" t="s">
        <v>63</v>
      </c>
      <c r="I599" s="6" t="s">
        <v>14</v>
      </c>
      <c r="J599" s="5">
        <v>45551.507638888892</v>
      </c>
      <c r="K599" s="7">
        <f t="shared" si="9"/>
        <v>4.8611111124046147E-3</v>
      </c>
    </row>
    <row r="600" spans="1:11" x14ac:dyDescent="0.25">
      <c r="A600" s="5">
        <v>45552.412499999999</v>
      </c>
      <c r="B600" s="3" t="s">
        <v>4</v>
      </c>
      <c r="C600" s="3">
        <v>10000347457</v>
      </c>
      <c r="D600" s="3" t="s">
        <v>9</v>
      </c>
      <c r="E600" s="3" t="s">
        <v>93</v>
      </c>
      <c r="F600" s="3" t="s">
        <v>6</v>
      </c>
      <c r="G600" s="3"/>
      <c r="H600" s="6" t="s">
        <v>42</v>
      </c>
      <c r="I600" s="6" t="s">
        <v>13</v>
      </c>
      <c r="J600" s="5">
        <v>45552.414583333331</v>
      </c>
      <c r="K600" s="7">
        <f t="shared" si="9"/>
        <v>2.0833333328482695E-3</v>
      </c>
    </row>
    <row r="601" spans="1:11" x14ac:dyDescent="0.25">
      <c r="A601" s="5">
        <v>45552.918749999997</v>
      </c>
      <c r="B601" s="3" t="s">
        <v>4</v>
      </c>
      <c r="C601" s="3">
        <v>10000022240</v>
      </c>
      <c r="D601" s="3" t="s">
        <v>9</v>
      </c>
      <c r="E601" s="3" t="s">
        <v>263</v>
      </c>
      <c r="F601" s="3" t="s">
        <v>38</v>
      </c>
      <c r="G601" s="3"/>
      <c r="H601" s="6" t="s">
        <v>519</v>
      </c>
      <c r="I601" s="6" t="s">
        <v>14</v>
      </c>
      <c r="J601" s="5">
        <v>45553.368055555555</v>
      </c>
      <c r="K601" s="7">
        <f t="shared" si="9"/>
        <v>0.4493055555576575</v>
      </c>
    </row>
    <row r="602" spans="1:11" x14ac:dyDescent="0.25">
      <c r="A602" s="5">
        <v>45553.101388888892</v>
      </c>
      <c r="B602" s="3" t="s">
        <v>4</v>
      </c>
      <c r="C602" s="3">
        <v>10000000822</v>
      </c>
      <c r="D602" s="3" t="s">
        <v>9</v>
      </c>
      <c r="E602" s="3" t="s">
        <v>179</v>
      </c>
      <c r="F602" s="3" t="s">
        <v>6</v>
      </c>
      <c r="G602" s="3"/>
      <c r="H602" s="6" t="s">
        <v>42</v>
      </c>
      <c r="I602" s="6" t="s">
        <v>13</v>
      </c>
      <c r="J602" s="5">
        <v>45553.180555555555</v>
      </c>
      <c r="K602" s="7">
        <f t="shared" si="9"/>
        <v>7.9166666662786156E-2</v>
      </c>
    </row>
    <row r="603" spans="1:11" x14ac:dyDescent="0.25">
      <c r="A603" s="5">
        <v>45553.568055555559</v>
      </c>
      <c r="B603" s="3" t="s">
        <v>4</v>
      </c>
      <c r="C603" s="3">
        <v>10000577752</v>
      </c>
      <c r="D603" s="3" t="s">
        <v>9</v>
      </c>
      <c r="E603" s="3" t="s">
        <v>21</v>
      </c>
      <c r="F603" s="3" t="s">
        <v>6</v>
      </c>
      <c r="G603" s="3"/>
      <c r="H603" s="6" t="s">
        <v>42</v>
      </c>
      <c r="I603" s="6" t="s">
        <v>13</v>
      </c>
      <c r="J603" s="5">
        <v>45553.568749999999</v>
      </c>
      <c r="K603" s="7">
        <f t="shared" si="9"/>
        <v>6.9444443943211809E-4</v>
      </c>
    </row>
    <row r="604" spans="1:11" x14ac:dyDescent="0.25">
      <c r="A604" s="5">
        <v>45554.051388888889</v>
      </c>
      <c r="B604" s="3" t="s">
        <v>4</v>
      </c>
      <c r="C604" s="3">
        <v>10000011130</v>
      </c>
      <c r="D604" s="3" t="s">
        <v>17</v>
      </c>
      <c r="E604" s="3" t="s">
        <v>15</v>
      </c>
      <c r="F604" s="3" t="s">
        <v>6</v>
      </c>
      <c r="G604" s="3"/>
      <c r="H604" s="6" t="s">
        <v>42</v>
      </c>
      <c r="I604" s="6" t="s">
        <v>13</v>
      </c>
      <c r="J604" s="5">
        <v>45554.056250000001</v>
      </c>
      <c r="K604" s="7">
        <f t="shared" si="9"/>
        <v>4.8611111124046147E-3</v>
      </c>
    </row>
    <row r="605" spans="1:11" x14ac:dyDescent="0.25">
      <c r="A605" s="5">
        <v>45554.175000000003</v>
      </c>
      <c r="B605" s="3" t="s">
        <v>4</v>
      </c>
      <c r="C605" s="3">
        <v>10000365255</v>
      </c>
      <c r="D605" s="3" t="s">
        <v>9</v>
      </c>
      <c r="E605" s="3" t="s">
        <v>394</v>
      </c>
      <c r="F605" s="3" t="s">
        <v>6</v>
      </c>
      <c r="G605" s="3"/>
      <c r="H605" s="6" t="s">
        <v>42</v>
      </c>
      <c r="I605" s="6" t="s">
        <v>13</v>
      </c>
      <c r="J605" s="5">
        <v>45554.177777777775</v>
      </c>
      <c r="K605" s="7">
        <f t="shared" si="9"/>
        <v>2.7777777722803876E-3</v>
      </c>
    </row>
    <row r="606" spans="1:11" x14ac:dyDescent="0.25">
      <c r="A606" s="5">
        <v>45554.179166666669</v>
      </c>
      <c r="B606" s="3" t="s">
        <v>4</v>
      </c>
      <c r="C606" s="3">
        <v>10000577752</v>
      </c>
      <c r="D606" s="3" t="s">
        <v>9</v>
      </c>
      <c r="E606" s="3" t="s">
        <v>21</v>
      </c>
      <c r="F606" s="3" t="s">
        <v>6</v>
      </c>
      <c r="G606" s="3"/>
      <c r="H606" s="6" t="s">
        <v>42</v>
      </c>
      <c r="I606" s="6" t="s">
        <v>13</v>
      </c>
      <c r="J606" s="5">
        <v>45554.259722222225</v>
      </c>
      <c r="K606" s="7">
        <f t="shared" si="9"/>
        <v>8.0555555556202307E-2</v>
      </c>
    </row>
    <row r="607" spans="1:11" x14ac:dyDescent="0.25">
      <c r="A607" s="5">
        <v>45558.725694444445</v>
      </c>
      <c r="B607" s="3" t="s">
        <v>521</v>
      </c>
      <c r="C607" s="3">
        <v>10000000853</v>
      </c>
      <c r="D607" s="3" t="s">
        <v>9</v>
      </c>
      <c r="E607" s="3" t="s">
        <v>62</v>
      </c>
      <c r="F607" s="3" t="s">
        <v>148</v>
      </c>
      <c r="G607" s="3"/>
      <c r="H607" s="6" t="s">
        <v>42</v>
      </c>
      <c r="I607" s="6" t="s">
        <v>13</v>
      </c>
      <c r="J607" s="5">
        <v>45558.734027777777</v>
      </c>
      <c r="K607" s="7">
        <f t="shared" si="9"/>
        <v>8.333333331393078E-3</v>
      </c>
    </row>
    <row r="608" spans="1:11" ht="30" x14ac:dyDescent="0.25">
      <c r="A608" s="5">
        <v>45559.054166666669</v>
      </c>
      <c r="B608" s="3" t="s">
        <v>522</v>
      </c>
      <c r="C608" s="3">
        <v>7810530001</v>
      </c>
      <c r="D608" s="3" t="s">
        <v>9</v>
      </c>
      <c r="E608" s="3" t="s">
        <v>26</v>
      </c>
      <c r="F608" s="3" t="s">
        <v>6</v>
      </c>
      <c r="G608" s="3"/>
      <c r="H608" s="6" t="s">
        <v>563</v>
      </c>
      <c r="I608" s="6" t="s">
        <v>14</v>
      </c>
      <c r="J608" s="5">
        <v>45588.569444444445</v>
      </c>
      <c r="K608" s="7">
        <f t="shared" si="9"/>
        <v>29.515277777776646</v>
      </c>
    </row>
    <row r="609" spans="1:11" x14ac:dyDescent="0.25">
      <c r="A609" s="5">
        <v>45559.463888888888</v>
      </c>
      <c r="B609" s="3" t="s">
        <v>523</v>
      </c>
      <c r="C609" s="3">
        <v>7016120002</v>
      </c>
      <c r="D609" s="3" t="s">
        <v>45</v>
      </c>
      <c r="E609" s="3" t="s">
        <v>524</v>
      </c>
      <c r="F609" s="3" t="s">
        <v>6</v>
      </c>
      <c r="G609" s="3"/>
      <c r="H609" s="6" t="s">
        <v>525</v>
      </c>
      <c r="I609" s="6" t="s">
        <v>14</v>
      </c>
      <c r="J609" s="5">
        <v>45559.837500000001</v>
      </c>
      <c r="K609" s="7">
        <f t="shared" si="9"/>
        <v>0.37361111111385981</v>
      </c>
    </row>
    <row r="610" spans="1:11" x14ac:dyDescent="0.25">
      <c r="A610" s="5">
        <v>45559.522916666669</v>
      </c>
      <c r="B610" s="3" t="s">
        <v>4</v>
      </c>
      <c r="C610" s="3">
        <v>10000011130</v>
      </c>
      <c r="D610" s="3" t="s">
        <v>17</v>
      </c>
      <c r="E610" s="3" t="s">
        <v>15</v>
      </c>
      <c r="F610" s="3" t="s">
        <v>6</v>
      </c>
      <c r="G610" s="3"/>
      <c r="H610" s="6" t="s">
        <v>42</v>
      </c>
      <c r="I610" s="6" t="s">
        <v>13</v>
      </c>
      <c r="J610" s="5">
        <v>45559.548611111109</v>
      </c>
      <c r="K610" s="7">
        <f t="shared" si="9"/>
        <v>2.569444444088731E-2</v>
      </c>
    </row>
    <row r="611" spans="1:11" x14ac:dyDescent="0.25">
      <c r="A611" s="5">
        <v>45559.6875</v>
      </c>
      <c r="B611" s="3" t="s">
        <v>4</v>
      </c>
      <c r="C611" s="3">
        <v>6935210001</v>
      </c>
      <c r="D611" s="3" t="s">
        <v>10</v>
      </c>
      <c r="E611" s="3" t="s">
        <v>112</v>
      </c>
      <c r="F611" s="3" t="s">
        <v>6</v>
      </c>
      <c r="G611" s="3"/>
      <c r="H611" s="6" t="s">
        <v>526</v>
      </c>
      <c r="I611" s="6" t="s">
        <v>14</v>
      </c>
      <c r="J611" s="5">
        <v>45559.688194444447</v>
      </c>
      <c r="K611" s="7">
        <f t="shared" si="9"/>
        <v>6.944444467080757E-4</v>
      </c>
    </row>
    <row r="612" spans="1:11" x14ac:dyDescent="0.25">
      <c r="A612" s="5">
        <v>45560.436805555553</v>
      </c>
      <c r="B612" s="3" t="s">
        <v>4</v>
      </c>
      <c r="C612" s="3">
        <v>10000058617</v>
      </c>
      <c r="D612" s="3" t="s">
        <v>10</v>
      </c>
      <c r="E612" s="3" t="s">
        <v>32</v>
      </c>
      <c r="F612" s="3" t="s">
        <v>6</v>
      </c>
      <c r="G612" s="3"/>
      <c r="H612" s="6" t="s">
        <v>527</v>
      </c>
      <c r="I612" s="6" t="s">
        <v>14</v>
      </c>
      <c r="J612" s="5">
        <v>45560.448611111111</v>
      </c>
      <c r="K612" s="7">
        <f t="shared" si="9"/>
        <v>1.1805555557657499E-2</v>
      </c>
    </row>
    <row r="613" spans="1:11" x14ac:dyDescent="0.25">
      <c r="A613" s="5">
        <v>45560.548611111109</v>
      </c>
      <c r="B613" s="3" t="s">
        <v>528</v>
      </c>
      <c r="C613" s="3">
        <v>10000052781</v>
      </c>
      <c r="D613" s="3" t="s">
        <v>10</v>
      </c>
      <c r="E613" s="3" t="s">
        <v>124</v>
      </c>
      <c r="F613" s="3" t="s">
        <v>6</v>
      </c>
      <c r="G613" s="3"/>
      <c r="H613" s="6" t="s">
        <v>529</v>
      </c>
      <c r="I613" s="6" t="s">
        <v>14</v>
      </c>
      <c r="J613" s="5">
        <v>45560.602777777778</v>
      </c>
      <c r="K613" s="7">
        <f t="shared" si="9"/>
        <v>5.4166666668606922E-2</v>
      </c>
    </row>
    <row r="614" spans="1:11" x14ac:dyDescent="0.25">
      <c r="A614" s="5">
        <v>45561.194444444445</v>
      </c>
      <c r="B614" s="3" t="s">
        <v>4</v>
      </c>
      <c r="C614" s="3">
        <v>10000577752</v>
      </c>
      <c r="D614" s="3" t="s">
        <v>9</v>
      </c>
      <c r="E614" s="3" t="s">
        <v>21</v>
      </c>
      <c r="F614" s="3" t="s">
        <v>6</v>
      </c>
      <c r="G614" s="3"/>
      <c r="H614" s="6" t="s">
        <v>42</v>
      </c>
      <c r="I614" s="6" t="s">
        <v>13</v>
      </c>
      <c r="J614" s="5">
        <v>45561.203472222223</v>
      </c>
      <c r="K614" s="7">
        <f t="shared" si="9"/>
        <v>9.0277777781011537E-3</v>
      </c>
    </row>
    <row r="615" spans="1:11" x14ac:dyDescent="0.25">
      <c r="A615" s="5">
        <v>45561.595138888886</v>
      </c>
      <c r="B615" s="3" t="s">
        <v>530</v>
      </c>
      <c r="C615" s="3">
        <v>10000017699</v>
      </c>
      <c r="D615" s="3" t="s">
        <v>10</v>
      </c>
      <c r="E615" s="3" t="s">
        <v>144</v>
      </c>
      <c r="F615" s="3" t="s">
        <v>6</v>
      </c>
      <c r="G615" s="3"/>
      <c r="H615" s="6" t="s">
        <v>531</v>
      </c>
      <c r="I615" s="6" t="s">
        <v>14</v>
      </c>
      <c r="J615" s="5">
        <v>45561.642361111109</v>
      </c>
      <c r="K615" s="7">
        <f t="shared" si="9"/>
        <v>4.7222222223354038E-2</v>
      </c>
    </row>
    <row r="616" spans="1:11" x14ac:dyDescent="0.25">
      <c r="A616" s="5">
        <v>45561.684027777781</v>
      </c>
      <c r="B616" s="3" t="s">
        <v>536</v>
      </c>
      <c r="C616" s="3">
        <v>10000058627</v>
      </c>
      <c r="D616" s="3" t="s">
        <v>9</v>
      </c>
      <c r="E616" s="3" t="s">
        <v>514</v>
      </c>
      <c r="F616" s="3" t="s">
        <v>90</v>
      </c>
      <c r="G616" s="3"/>
      <c r="H616" s="6" t="s">
        <v>533</v>
      </c>
      <c r="I616" s="6" t="s">
        <v>14</v>
      </c>
      <c r="J616" s="5">
        <v>45562.008333333331</v>
      </c>
      <c r="K616" s="7">
        <f t="shared" si="9"/>
        <v>0.32430555555038154</v>
      </c>
    </row>
    <row r="617" spans="1:11" x14ac:dyDescent="0.25">
      <c r="A617" s="5">
        <v>45561.684027777781</v>
      </c>
      <c r="B617" s="3" t="s">
        <v>532</v>
      </c>
      <c r="C617" s="3">
        <v>10000058781</v>
      </c>
      <c r="D617" s="3" t="s">
        <v>9</v>
      </c>
      <c r="E617" s="3" t="s">
        <v>247</v>
      </c>
      <c r="F617" s="3" t="s">
        <v>90</v>
      </c>
      <c r="G617" s="3"/>
      <c r="H617" s="6" t="s">
        <v>533</v>
      </c>
      <c r="I617" s="6" t="s">
        <v>14</v>
      </c>
      <c r="J617" s="5">
        <v>45562.008333333331</v>
      </c>
      <c r="K617" s="7">
        <f t="shared" si="9"/>
        <v>0.32430555555038154</v>
      </c>
    </row>
    <row r="618" spans="1:11" x14ac:dyDescent="0.25">
      <c r="A618" s="5">
        <v>45561.684027777781</v>
      </c>
      <c r="B618" s="3" t="s">
        <v>535</v>
      </c>
      <c r="C618" s="3">
        <v>6963530001</v>
      </c>
      <c r="D618" s="3" t="s">
        <v>9</v>
      </c>
      <c r="E618" s="3" t="s">
        <v>67</v>
      </c>
      <c r="F618" s="3" t="s">
        <v>90</v>
      </c>
      <c r="G618" s="3"/>
      <c r="H618" s="6" t="s">
        <v>533</v>
      </c>
      <c r="I618" s="6" t="s">
        <v>14</v>
      </c>
      <c r="J618" s="5">
        <v>45562.008333333331</v>
      </c>
      <c r="K618" s="7">
        <f t="shared" si="9"/>
        <v>0.32430555555038154</v>
      </c>
    </row>
    <row r="619" spans="1:11" x14ac:dyDescent="0.25">
      <c r="A619" s="5">
        <v>45561.684027777781</v>
      </c>
      <c r="B619" s="3" t="s">
        <v>534</v>
      </c>
      <c r="C619" s="3">
        <v>7853300001</v>
      </c>
      <c r="D619" s="3" t="s">
        <v>9</v>
      </c>
      <c r="E619" s="3" t="s">
        <v>19</v>
      </c>
      <c r="F619" s="3" t="s">
        <v>90</v>
      </c>
      <c r="G619" s="3"/>
      <c r="H619" s="6" t="s">
        <v>533</v>
      </c>
      <c r="I619" s="6" t="s">
        <v>14</v>
      </c>
      <c r="J619" s="5">
        <v>45562.008333333331</v>
      </c>
      <c r="K619" s="7">
        <f t="shared" si="9"/>
        <v>0.32430555555038154</v>
      </c>
    </row>
    <row r="620" spans="1:11" x14ac:dyDescent="0.25">
      <c r="A620" s="5">
        <v>45565.340277777781</v>
      </c>
      <c r="B620" s="3" t="s">
        <v>537</v>
      </c>
      <c r="C620" s="3">
        <v>10000081665</v>
      </c>
      <c r="D620" s="3" t="s">
        <v>10</v>
      </c>
      <c r="E620" s="3" t="s">
        <v>49</v>
      </c>
      <c r="F620" s="3" t="s">
        <v>6</v>
      </c>
      <c r="G620" s="3"/>
      <c r="H620" s="6" t="s">
        <v>538</v>
      </c>
      <c r="I620" s="6" t="s">
        <v>14</v>
      </c>
      <c r="J620" s="5">
        <v>45565.463194444441</v>
      </c>
      <c r="K620" s="7">
        <f t="shared" si="9"/>
        <v>0.12291666665987577</v>
      </c>
    </row>
    <row r="621" spans="1:11" x14ac:dyDescent="0.25">
      <c r="A621" s="5">
        <v>45566.143750000003</v>
      </c>
      <c r="B621" s="3" t="s">
        <v>541</v>
      </c>
      <c r="C621" s="3">
        <v>7808270001</v>
      </c>
      <c r="D621" s="3" t="s">
        <v>9</v>
      </c>
      <c r="E621" s="3" t="s">
        <v>37</v>
      </c>
      <c r="F621" s="3" t="s">
        <v>6</v>
      </c>
      <c r="G621" s="3"/>
      <c r="H621" s="6" t="s">
        <v>544</v>
      </c>
      <c r="I621" s="6" t="s">
        <v>14</v>
      </c>
      <c r="J621" s="5">
        <v>45567.587500000001</v>
      </c>
      <c r="K621" s="7">
        <f t="shared" si="9"/>
        <v>1.4437499999985448</v>
      </c>
    </row>
    <row r="622" spans="1:11" x14ac:dyDescent="0.25">
      <c r="A622" s="5">
        <v>45566.488194444442</v>
      </c>
      <c r="B622" s="3" t="s">
        <v>539</v>
      </c>
      <c r="C622" s="3">
        <v>10000000427</v>
      </c>
      <c r="D622" s="3" t="s">
        <v>9</v>
      </c>
      <c r="E622" s="3" t="s">
        <v>419</v>
      </c>
      <c r="F622" s="3" t="s">
        <v>6</v>
      </c>
      <c r="G622" s="3"/>
      <c r="H622" s="6" t="s">
        <v>540</v>
      </c>
      <c r="I622" s="6" t="s">
        <v>13</v>
      </c>
      <c r="J622" s="5">
        <v>45566.568749999999</v>
      </c>
      <c r="K622" s="7">
        <f t="shared" si="9"/>
        <v>8.0555555556202307E-2</v>
      </c>
    </row>
    <row r="623" spans="1:11" x14ac:dyDescent="0.25">
      <c r="A623" s="5">
        <v>45567.306944444441</v>
      </c>
      <c r="B623" s="3" t="s">
        <v>4</v>
      </c>
      <c r="C623" s="3">
        <v>10000577752</v>
      </c>
      <c r="D623" s="3" t="s">
        <v>9</v>
      </c>
      <c r="E623" s="3" t="s">
        <v>21</v>
      </c>
      <c r="F623" s="3" t="s">
        <v>6</v>
      </c>
      <c r="G623" s="3"/>
      <c r="H623" s="6" t="s">
        <v>42</v>
      </c>
      <c r="I623" s="6" t="s">
        <v>13</v>
      </c>
      <c r="J623" s="5">
        <v>45567.39166666667</v>
      </c>
      <c r="K623" s="7">
        <f t="shared" si="9"/>
        <v>8.4722222229174804E-2</v>
      </c>
    </row>
    <row r="624" spans="1:11" x14ac:dyDescent="0.25">
      <c r="A624" s="5">
        <v>45567.782638888886</v>
      </c>
      <c r="B624" s="3" t="s">
        <v>4</v>
      </c>
      <c r="C624" s="3">
        <v>10000577752</v>
      </c>
      <c r="D624" s="3" t="s">
        <v>9</v>
      </c>
      <c r="E624" s="3" t="s">
        <v>21</v>
      </c>
      <c r="F624" s="3" t="s">
        <v>6</v>
      </c>
      <c r="G624" s="3"/>
      <c r="H624" s="6" t="s">
        <v>42</v>
      </c>
      <c r="I624" s="6" t="s">
        <v>13</v>
      </c>
      <c r="J624" s="5">
        <v>45567.782638888886</v>
      </c>
      <c r="K624" s="7">
        <f t="shared" si="9"/>
        <v>0</v>
      </c>
    </row>
    <row r="625" spans="1:11" x14ac:dyDescent="0.25">
      <c r="A625" s="5">
        <v>45567.892361111109</v>
      </c>
      <c r="B625" s="3" t="s">
        <v>542</v>
      </c>
      <c r="C625" s="3">
        <v>10000056969</v>
      </c>
      <c r="D625" s="3" t="s">
        <v>134</v>
      </c>
      <c r="E625" s="3" t="s">
        <v>450</v>
      </c>
      <c r="F625" s="3" t="s">
        <v>223</v>
      </c>
      <c r="G625" s="3"/>
      <c r="H625" s="6" t="s">
        <v>543</v>
      </c>
      <c r="I625" s="6" t="s">
        <v>14</v>
      </c>
      <c r="J625" s="5">
        <v>45568.393750000003</v>
      </c>
      <c r="K625" s="7">
        <f t="shared" si="9"/>
        <v>0.50138888889341615</v>
      </c>
    </row>
    <row r="626" spans="1:11" x14ac:dyDescent="0.25">
      <c r="A626" s="5">
        <v>45568.477083333331</v>
      </c>
      <c r="B626" s="3" t="s">
        <v>545</v>
      </c>
      <c r="C626" s="3">
        <v>6999100001</v>
      </c>
      <c r="D626" s="3" t="s">
        <v>10</v>
      </c>
      <c r="E626" s="3" t="s">
        <v>95</v>
      </c>
      <c r="F626" s="3" t="s">
        <v>6</v>
      </c>
      <c r="G626" s="3"/>
      <c r="H626" s="6" t="s">
        <v>546</v>
      </c>
      <c r="I626" s="6" t="s">
        <v>14</v>
      </c>
      <c r="J626" s="5">
        <v>45569.62222222222</v>
      </c>
      <c r="K626" s="7">
        <f t="shared" si="9"/>
        <v>1.1451388888890506</v>
      </c>
    </row>
    <row r="627" spans="1:11" x14ac:dyDescent="0.25">
      <c r="A627" s="5">
        <v>45571.359988425924</v>
      </c>
      <c r="B627" s="3" t="s">
        <v>583</v>
      </c>
      <c r="C627" s="3">
        <v>6998890001</v>
      </c>
      <c r="D627" s="3" t="s">
        <v>9</v>
      </c>
      <c r="E627" s="3" t="s">
        <v>318</v>
      </c>
      <c r="F627" s="3" t="s">
        <v>6</v>
      </c>
      <c r="G627" s="3"/>
      <c r="H627" s="6" t="s">
        <v>617</v>
      </c>
      <c r="I627" s="6" t="s">
        <v>14</v>
      </c>
      <c r="J627" s="5">
        <v>45572.723611111112</v>
      </c>
      <c r="K627" s="7">
        <f t="shared" si="9"/>
        <v>1.3636226851886022</v>
      </c>
    </row>
    <row r="628" spans="1:11" x14ac:dyDescent="0.25">
      <c r="A628" s="5">
        <v>45571.424270833333</v>
      </c>
      <c r="B628" s="3" t="s">
        <v>584</v>
      </c>
      <c r="C628" s="3">
        <v>10000011130</v>
      </c>
      <c r="D628" s="3" t="s">
        <v>17</v>
      </c>
      <c r="E628" s="3" t="s">
        <v>585</v>
      </c>
      <c r="F628" s="3" t="s">
        <v>6</v>
      </c>
      <c r="G628" s="3"/>
      <c r="H628" s="6" t="s">
        <v>586</v>
      </c>
      <c r="I628" s="6" t="s">
        <v>13</v>
      </c>
      <c r="J628" s="5">
        <v>45571.556006944447</v>
      </c>
      <c r="K628" s="7">
        <f t="shared" si="9"/>
        <v>0.13173611111415084</v>
      </c>
    </row>
    <row r="629" spans="1:11" x14ac:dyDescent="0.25">
      <c r="A629" s="5">
        <v>45571.425219907411</v>
      </c>
      <c r="B629" s="3" t="s">
        <v>587</v>
      </c>
      <c r="C629" s="3">
        <v>7831420001</v>
      </c>
      <c r="D629" s="3" t="s">
        <v>9</v>
      </c>
      <c r="E629" s="3" t="s">
        <v>120</v>
      </c>
      <c r="F629" s="3" t="s">
        <v>6</v>
      </c>
      <c r="G629" s="3"/>
      <c r="H629" s="6" t="s">
        <v>586</v>
      </c>
      <c r="I629" s="6" t="s">
        <v>14</v>
      </c>
      <c r="J629" s="5">
        <v>45571.555567129632</v>
      </c>
      <c r="K629" s="7">
        <f t="shared" si="9"/>
        <v>0.13034722222073469</v>
      </c>
    </row>
    <row r="630" spans="1:11" x14ac:dyDescent="0.25">
      <c r="A630" s="5">
        <v>45571.42559027778</v>
      </c>
      <c r="B630" s="3" t="s">
        <v>541</v>
      </c>
      <c r="C630" s="3">
        <v>7808270001</v>
      </c>
      <c r="D630" s="3" t="s">
        <v>9</v>
      </c>
      <c r="E630" s="3" t="s">
        <v>588</v>
      </c>
      <c r="F630" s="3" t="s">
        <v>6</v>
      </c>
      <c r="G630" s="3"/>
      <c r="H630" s="6" t="s">
        <v>589</v>
      </c>
      <c r="I630" s="6" t="s">
        <v>14</v>
      </c>
      <c r="J630" s="5">
        <v>45571.579259259262</v>
      </c>
      <c r="K630" s="7">
        <f t="shared" si="9"/>
        <v>0.153668981482042</v>
      </c>
    </row>
    <row r="631" spans="1:11" x14ac:dyDescent="0.25">
      <c r="A631" s="5">
        <v>45571.626851851855</v>
      </c>
      <c r="B631" s="3" t="s">
        <v>4</v>
      </c>
      <c r="C631" s="3">
        <v>10000004781</v>
      </c>
      <c r="D631" s="3" t="s">
        <v>9</v>
      </c>
      <c r="E631" s="3" t="s">
        <v>44</v>
      </c>
      <c r="F631" s="3" t="s">
        <v>6</v>
      </c>
      <c r="G631" s="3"/>
      <c r="H631" s="6" t="s">
        <v>42</v>
      </c>
      <c r="I631" s="6" t="s">
        <v>13</v>
      </c>
      <c r="J631" s="5">
        <v>45571.63108796296</v>
      </c>
      <c r="K631" s="7">
        <f t="shared" si="9"/>
        <v>4.2361111045465805E-3</v>
      </c>
    </row>
    <row r="632" spans="1:11" x14ac:dyDescent="0.25">
      <c r="A632" s="5">
        <v>45571.65353009259</v>
      </c>
      <c r="B632" s="3" t="s">
        <v>4</v>
      </c>
      <c r="C632" s="3">
        <v>6999080001</v>
      </c>
      <c r="D632" s="3" t="s">
        <v>590</v>
      </c>
      <c r="E632" s="3" t="s">
        <v>153</v>
      </c>
      <c r="F632" s="3" t="s">
        <v>6</v>
      </c>
      <c r="G632" s="3"/>
      <c r="H632" s="6" t="s">
        <v>259</v>
      </c>
      <c r="I632" s="6" t="s">
        <v>14</v>
      </c>
      <c r="J632" s="5">
        <v>45571.999490740738</v>
      </c>
      <c r="K632" s="7">
        <f t="shared" si="9"/>
        <v>0.34596064814832062</v>
      </c>
    </row>
    <row r="633" spans="1:11" x14ac:dyDescent="0.25">
      <c r="A633" s="5">
        <v>45572.408924861113</v>
      </c>
      <c r="B633" s="3" t="s">
        <v>4</v>
      </c>
      <c r="C633" s="3">
        <v>10000119172</v>
      </c>
      <c r="D633" s="3" t="s">
        <v>590</v>
      </c>
      <c r="E633" s="3" t="s">
        <v>61</v>
      </c>
      <c r="F633" s="3" t="s">
        <v>6</v>
      </c>
      <c r="G633" s="3"/>
      <c r="H633" s="6" t="s">
        <v>42</v>
      </c>
      <c r="I633" s="6" t="s">
        <v>13</v>
      </c>
      <c r="J633" s="5">
        <v>45572.418424814816</v>
      </c>
      <c r="K633" s="7">
        <f t="shared" si="9"/>
        <v>9.4999537031981163E-3</v>
      </c>
    </row>
    <row r="634" spans="1:11" x14ac:dyDescent="0.25">
      <c r="A634" s="5">
        <v>45572.813682384258</v>
      </c>
      <c r="B634" s="3" t="s">
        <v>591</v>
      </c>
      <c r="C634" s="3">
        <v>10000058625</v>
      </c>
      <c r="D634" s="3" t="s">
        <v>9</v>
      </c>
      <c r="E634" s="3" t="s">
        <v>592</v>
      </c>
      <c r="F634" s="3" t="s">
        <v>6</v>
      </c>
      <c r="G634" s="3"/>
      <c r="H634" s="6" t="s">
        <v>593</v>
      </c>
      <c r="I634" s="6" t="s">
        <v>14</v>
      </c>
      <c r="J634" s="5">
        <v>45573.395370370374</v>
      </c>
      <c r="K634" s="7">
        <f t="shared" si="9"/>
        <v>0.58168798611586681</v>
      </c>
    </row>
    <row r="635" spans="1:11" x14ac:dyDescent="0.25">
      <c r="A635" s="5">
        <v>45573.679952824074</v>
      </c>
      <c r="B635" s="3" t="s">
        <v>594</v>
      </c>
      <c r="C635" s="3">
        <v>10000000824</v>
      </c>
      <c r="D635" s="3" t="s">
        <v>9</v>
      </c>
      <c r="E635" s="3" t="s">
        <v>149</v>
      </c>
      <c r="F635" s="3" t="s">
        <v>6</v>
      </c>
      <c r="G635" s="3"/>
      <c r="H635" s="6" t="s">
        <v>596</v>
      </c>
      <c r="I635" s="6" t="s">
        <v>14</v>
      </c>
      <c r="J635" s="5">
        <v>45573.686449768516</v>
      </c>
      <c r="K635" s="7">
        <f t="shared" si="9"/>
        <v>6.4969444429152645E-3</v>
      </c>
    </row>
    <row r="636" spans="1:11" x14ac:dyDescent="0.25">
      <c r="A636" s="5">
        <v>45573.6799537037</v>
      </c>
      <c r="B636" s="3" t="s">
        <v>594</v>
      </c>
      <c r="C636" s="3">
        <v>10000000824</v>
      </c>
      <c r="D636" s="3" t="s">
        <v>9</v>
      </c>
      <c r="E636" s="3" t="s">
        <v>149</v>
      </c>
      <c r="F636" s="3" t="s">
        <v>6</v>
      </c>
      <c r="G636" s="3"/>
      <c r="H636" s="6" t="s">
        <v>595</v>
      </c>
      <c r="I636" s="6" t="s">
        <v>14</v>
      </c>
      <c r="J636" s="5">
        <v>45573.686449768516</v>
      </c>
      <c r="K636" s="7">
        <f t="shared" si="9"/>
        <v>6.4960648160194978E-3</v>
      </c>
    </row>
    <row r="637" spans="1:11" x14ac:dyDescent="0.25">
      <c r="A637" s="5">
        <v>45574.445838506945</v>
      </c>
      <c r="B637" s="3" t="s">
        <v>4</v>
      </c>
      <c r="C637" s="3">
        <v>10000577752</v>
      </c>
      <c r="D637" s="3" t="s">
        <v>9</v>
      </c>
      <c r="E637" s="3" t="s">
        <v>597</v>
      </c>
      <c r="F637" s="3" t="s">
        <v>6</v>
      </c>
      <c r="G637" s="3"/>
      <c r="H637" s="6" t="s">
        <v>42</v>
      </c>
      <c r="I637" s="6" t="s">
        <v>13</v>
      </c>
      <c r="J637" s="5">
        <v>45574.781984259258</v>
      </c>
      <c r="K637" s="7">
        <f t="shared" si="9"/>
        <v>0.33614575231331401</v>
      </c>
    </row>
    <row r="638" spans="1:11" x14ac:dyDescent="0.25">
      <c r="A638" s="5">
        <v>45574.508170104164</v>
      </c>
      <c r="B638" s="3" t="s">
        <v>598</v>
      </c>
      <c r="C638" s="3">
        <v>6998930001</v>
      </c>
      <c r="D638" s="3" t="s">
        <v>9</v>
      </c>
      <c r="E638" s="3" t="s">
        <v>599</v>
      </c>
      <c r="F638" s="3" t="s">
        <v>6</v>
      </c>
      <c r="G638" s="3"/>
      <c r="H638" s="6" t="s">
        <v>600</v>
      </c>
      <c r="I638" s="6" t="s">
        <v>14</v>
      </c>
      <c r="J638" s="5">
        <v>45574.630610046297</v>
      </c>
      <c r="K638" s="7">
        <f t="shared" si="9"/>
        <v>0.12243994213349652</v>
      </c>
    </row>
    <row r="639" spans="1:11" x14ac:dyDescent="0.25">
      <c r="A639" s="5">
        <v>45575.435363923614</v>
      </c>
      <c r="B639" s="3" t="s">
        <v>4</v>
      </c>
      <c r="C639" s="3">
        <v>10000577752</v>
      </c>
      <c r="D639" s="3" t="s">
        <v>9</v>
      </c>
      <c r="E639" s="3" t="s">
        <v>597</v>
      </c>
      <c r="F639" s="3" t="s">
        <v>6</v>
      </c>
      <c r="G639" s="3"/>
      <c r="H639" s="6" t="s">
        <v>42</v>
      </c>
      <c r="I639" s="6" t="s">
        <v>13</v>
      </c>
      <c r="J639" s="5">
        <v>45575.733427569445</v>
      </c>
      <c r="K639" s="7">
        <f t="shared" si="9"/>
        <v>0.29806364583055256</v>
      </c>
    </row>
    <row r="640" spans="1:11" x14ac:dyDescent="0.25">
      <c r="A640" s="5">
        <v>45576.424954664355</v>
      </c>
      <c r="B640" s="3" t="s">
        <v>4</v>
      </c>
      <c r="C640" s="3">
        <v>10000577752</v>
      </c>
      <c r="D640" s="3" t="s">
        <v>9</v>
      </c>
      <c r="E640" s="3" t="s">
        <v>597</v>
      </c>
      <c r="F640" s="3" t="s">
        <v>6</v>
      </c>
      <c r="G640" s="3"/>
      <c r="H640" s="6" t="s">
        <v>42</v>
      </c>
      <c r="I640" s="6" t="s">
        <v>13</v>
      </c>
      <c r="J640" s="5">
        <v>45578.617782210647</v>
      </c>
      <c r="K640" s="7">
        <f t="shared" si="9"/>
        <v>2.1928275462923921</v>
      </c>
    </row>
    <row r="641" spans="1:11" x14ac:dyDescent="0.25">
      <c r="A641" s="5">
        <v>45576.463879606483</v>
      </c>
      <c r="B641" s="3" t="s">
        <v>4</v>
      </c>
      <c r="C641" s="3">
        <v>10000347457</v>
      </c>
      <c r="D641" s="3" t="s">
        <v>9</v>
      </c>
      <c r="E641" s="3" t="s">
        <v>93</v>
      </c>
      <c r="F641" s="3" t="s">
        <v>6</v>
      </c>
      <c r="G641" s="3"/>
      <c r="H641" s="6" t="s">
        <v>42</v>
      </c>
      <c r="I641" s="6" t="s">
        <v>13</v>
      </c>
      <c r="J641" s="5">
        <v>45576.739845752316</v>
      </c>
      <c r="K641" s="7">
        <f t="shared" si="9"/>
        <v>0.2759661458330811</v>
      </c>
    </row>
    <row r="642" spans="1:11" x14ac:dyDescent="0.25">
      <c r="A642" s="5">
        <v>45576.650573842591</v>
      </c>
      <c r="B642" s="3" t="s">
        <v>4</v>
      </c>
      <c r="C642" s="3">
        <v>10000577752</v>
      </c>
      <c r="D642" s="3" t="s">
        <v>9</v>
      </c>
      <c r="E642" s="3" t="s">
        <v>597</v>
      </c>
      <c r="F642" s="3" t="s">
        <v>6</v>
      </c>
      <c r="G642" s="3"/>
      <c r="H642" s="6" t="s">
        <v>42</v>
      </c>
      <c r="I642" s="6" t="s">
        <v>13</v>
      </c>
      <c r="J642" s="5">
        <v>45576.742861481478</v>
      </c>
      <c r="K642" s="7">
        <f t="shared" si="9"/>
        <v>9.2287638886773493E-2</v>
      </c>
    </row>
    <row r="643" spans="1:11" x14ac:dyDescent="0.25">
      <c r="A643" s="5">
        <v>45577.577998842593</v>
      </c>
      <c r="B643" s="3" t="s">
        <v>4</v>
      </c>
      <c r="C643" s="3">
        <v>10000004781</v>
      </c>
      <c r="D643" s="3" t="s">
        <v>45</v>
      </c>
      <c r="E643" s="3" t="s">
        <v>44</v>
      </c>
      <c r="F643" s="3" t="s">
        <v>6</v>
      </c>
      <c r="G643" s="3"/>
      <c r="H643" s="6" t="s">
        <v>42</v>
      </c>
      <c r="I643" s="6" t="s">
        <v>13</v>
      </c>
      <c r="J643" s="5">
        <v>45577.657546909722</v>
      </c>
      <c r="K643" s="7">
        <f t="shared" si="9"/>
        <v>7.9548067129508127E-2</v>
      </c>
    </row>
    <row r="644" spans="1:11" x14ac:dyDescent="0.25">
      <c r="A644" s="5">
        <v>45577.753067650461</v>
      </c>
      <c r="B644" s="3" t="s">
        <v>601</v>
      </c>
      <c r="C644" s="3">
        <v>10000000824</v>
      </c>
      <c r="D644" s="3" t="s">
        <v>9</v>
      </c>
      <c r="E644" s="3" t="s">
        <v>149</v>
      </c>
      <c r="F644" s="3" t="s">
        <v>6</v>
      </c>
      <c r="G644" s="3"/>
      <c r="H644" s="6" t="s">
        <v>596</v>
      </c>
      <c r="I644" s="6" t="s">
        <v>14</v>
      </c>
      <c r="J644" s="5">
        <v>45577.798834120367</v>
      </c>
      <c r="K644" s="7">
        <f t="shared" si="9"/>
        <v>4.5766469906084239E-2</v>
      </c>
    </row>
    <row r="645" spans="1:11" x14ac:dyDescent="0.25">
      <c r="A645" s="5">
        <v>45578.925153425924</v>
      </c>
      <c r="B645" s="3" t="s">
        <v>602</v>
      </c>
      <c r="C645" s="3">
        <v>7831420001</v>
      </c>
      <c r="D645" s="3" t="s">
        <v>9</v>
      </c>
      <c r="E645" s="3" t="s">
        <v>120</v>
      </c>
      <c r="F645" s="3" t="s">
        <v>6</v>
      </c>
      <c r="G645" s="3"/>
      <c r="H645" s="6" t="s">
        <v>259</v>
      </c>
      <c r="I645" s="6" t="s">
        <v>14</v>
      </c>
      <c r="J645" s="5">
        <v>45578.92959122685</v>
      </c>
      <c r="K645" s="7">
        <f t="shared" si="9"/>
        <v>4.4378009260981344E-3</v>
      </c>
    </row>
    <row r="646" spans="1:11" x14ac:dyDescent="0.25">
      <c r="A646" s="5">
        <v>45579.10361111111</v>
      </c>
      <c r="B646" s="3" t="s">
        <v>601</v>
      </c>
      <c r="C646" s="3">
        <v>10000000824</v>
      </c>
      <c r="D646" s="3" t="s">
        <v>9</v>
      </c>
      <c r="E646" s="3" t="s">
        <v>149</v>
      </c>
      <c r="F646" s="3" t="s">
        <v>6</v>
      </c>
      <c r="G646" s="3"/>
      <c r="H646" s="6" t="s">
        <v>596</v>
      </c>
      <c r="I646" s="6" t="s">
        <v>14</v>
      </c>
      <c r="J646" s="5">
        <v>45579.109840856479</v>
      </c>
      <c r="K646" s="7">
        <f t="shared" si="9"/>
        <v>6.229745369637385E-3</v>
      </c>
    </row>
    <row r="647" spans="1:11" x14ac:dyDescent="0.25">
      <c r="A647" s="5">
        <v>45579.561988437497</v>
      </c>
      <c r="B647" s="3" t="s">
        <v>601</v>
      </c>
      <c r="C647" s="3">
        <v>10000000824</v>
      </c>
      <c r="D647" s="3" t="s">
        <v>9</v>
      </c>
      <c r="E647" s="3" t="s">
        <v>149</v>
      </c>
      <c r="F647" s="3" t="s">
        <v>6</v>
      </c>
      <c r="G647" s="3"/>
      <c r="H647" s="6" t="s">
        <v>603</v>
      </c>
      <c r="I647" s="6" t="s">
        <v>14</v>
      </c>
      <c r="J647" s="5">
        <v>45579.816226006944</v>
      </c>
      <c r="K647" s="7">
        <f t="shared" si="9"/>
        <v>0.25423756944655906</v>
      </c>
    </row>
    <row r="648" spans="1:11" x14ac:dyDescent="0.25">
      <c r="A648" s="5">
        <v>45579.867939861113</v>
      </c>
      <c r="B648" s="3" t="s">
        <v>4</v>
      </c>
      <c r="C648" s="3">
        <v>10000000824</v>
      </c>
      <c r="D648" s="3" t="s">
        <v>9</v>
      </c>
      <c r="E648" s="3" t="s">
        <v>149</v>
      </c>
      <c r="F648" s="3" t="s">
        <v>604</v>
      </c>
      <c r="G648" s="3"/>
      <c r="H648" s="6" t="s">
        <v>605</v>
      </c>
      <c r="I648" s="6" t="s">
        <v>14</v>
      </c>
      <c r="J648" s="5">
        <v>45580.763845428242</v>
      </c>
      <c r="K648" s="7">
        <f t="shared" si="9"/>
        <v>0.89590556712937541</v>
      </c>
    </row>
    <row r="649" spans="1:11" x14ac:dyDescent="0.25">
      <c r="A649" s="5">
        <v>45580.458611111113</v>
      </c>
      <c r="B649" s="3" t="s">
        <v>606</v>
      </c>
      <c r="C649" s="3">
        <v>6999070001</v>
      </c>
      <c r="D649" s="3" t="s">
        <v>10</v>
      </c>
      <c r="E649" s="3" t="s">
        <v>86</v>
      </c>
      <c r="F649" s="3" t="s">
        <v>607</v>
      </c>
      <c r="G649" s="3"/>
      <c r="H649" s="6" t="s">
        <v>608</v>
      </c>
      <c r="I649" s="6" t="s">
        <v>14</v>
      </c>
      <c r="J649" s="5">
        <v>45580.466315011574</v>
      </c>
      <c r="K649" s="7">
        <f t="shared" si="9"/>
        <v>7.7039004609105177E-3</v>
      </c>
    </row>
    <row r="650" spans="1:11" x14ac:dyDescent="0.25">
      <c r="A650" s="5">
        <v>45581.061583969909</v>
      </c>
      <c r="B650" s="3" t="s">
        <v>4</v>
      </c>
      <c r="C650" s="3">
        <v>10000612357</v>
      </c>
      <c r="D650" s="3" t="s">
        <v>9</v>
      </c>
      <c r="E650" s="3" t="s">
        <v>146</v>
      </c>
      <c r="F650" s="3" t="s">
        <v>607</v>
      </c>
      <c r="G650" s="3"/>
      <c r="H650" s="6" t="s">
        <v>42</v>
      </c>
      <c r="I650" s="6" t="s">
        <v>13</v>
      </c>
      <c r="J650" s="5">
        <v>45581.153875127318</v>
      </c>
      <c r="K650" s="7">
        <f t="shared" si="9"/>
        <v>9.2291157408908475E-2</v>
      </c>
    </row>
    <row r="651" spans="1:11" x14ac:dyDescent="0.25">
      <c r="A651" s="5">
        <v>45581.41454943287</v>
      </c>
      <c r="B651" s="3" t="s">
        <v>4</v>
      </c>
      <c r="C651" s="3">
        <v>10000577752</v>
      </c>
      <c r="D651" s="3" t="s">
        <v>9</v>
      </c>
      <c r="E651" s="3" t="s">
        <v>21</v>
      </c>
      <c r="F651" s="3" t="s">
        <v>6</v>
      </c>
      <c r="G651" s="3"/>
      <c r="H651" s="6" t="s">
        <v>42</v>
      </c>
      <c r="I651" s="6" t="s">
        <v>13</v>
      </c>
      <c r="J651" s="5">
        <v>45581.760396770835</v>
      </c>
      <c r="K651" s="7">
        <f t="shared" si="9"/>
        <v>0.34584733796509681</v>
      </c>
    </row>
    <row r="652" spans="1:11" x14ac:dyDescent="0.25">
      <c r="A652" s="5">
        <v>45581.743668194445</v>
      </c>
      <c r="B652" s="3" t="s">
        <v>522</v>
      </c>
      <c r="C652" s="3">
        <v>7810530001</v>
      </c>
      <c r="D652" s="3" t="s">
        <v>9</v>
      </c>
      <c r="E652" s="3" t="s">
        <v>26</v>
      </c>
      <c r="F652" s="3" t="s">
        <v>6</v>
      </c>
      <c r="G652" s="3"/>
      <c r="H652" s="6" t="s">
        <v>609</v>
      </c>
      <c r="I652" s="6" t="s">
        <v>14</v>
      </c>
      <c r="J652" s="5">
        <v>45581.757494074074</v>
      </c>
      <c r="K652" s="7">
        <f t="shared" si="9"/>
        <v>1.3825879628711846E-2</v>
      </c>
    </row>
    <row r="653" spans="1:11" x14ac:dyDescent="0.25">
      <c r="A653" s="5">
        <v>45581.760319942128</v>
      </c>
      <c r="B653" s="3" t="s">
        <v>522</v>
      </c>
      <c r="C653" s="3">
        <v>7810530001</v>
      </c>
      <c r="D653" s="3" t="s">
        <v>9</v>
      </c>
      <c r="E653" s="3" t="s">
        <v>26</v>
      </c>
      <c r="F653" s="3" t="s">
        <v>51</v>
      </c>
      <c r="G653" s="3"/>
      <c r="H653" s="6" t="s">
        <v>609</v>
      </c>
      <c r="I653" s="6" t="s">
        <v>14</v>
      </c>
      <c r="J653" s="5">
        <v>45581.801262511573</v>
      </c>
      <c r="K653" s="7">
        <f t="shared" si="9"/>
        <v>4.0942569445178378E-2</v>
      </c>
    </row>
    <row r="654" spans="1:11" x14ac:dyDescent="0.25">
      <c r="A654" s="5">
        <v>45581.867286458335</v>
      </c>
      <c r="B654" s="3" t="s">
        <v>610</v>
      </c>
      <c r="C654" s="3">
        <v>7808270001</v>
      </c>
      <c r="D654" s="3" t="s">
        <v>9</v>
      </c>
      <c r="E654" s="3" t="s">
        <v>37</v>
      </c>
      <c r="F654" s="3" t="s">
        <v>6</v>
      </c>
      <c r="G654" s="3"/>
      <c r="H654" s="6" t="s">
        <v>611</v>
      </c>
      <c r="I654" s="6" t="s">
        <v>14</v>
      </c>
      <c r="J654" s="5">
        <v>45581.89028605324</v>
      </c>
      <c r="K654" s="7">
        <f t="shared" si="9"/>
        <v>2.2999594904831611E-2</v>
      </c>
    </row>
    <row r="655" spans="1:11" x14ac:dyDescent="0.25">
      <c r="A655" s="5">
        <v>45581.870526990744</v>
      </c>
      <c r="B655" s="3" t="s">
        <v>610</v>
      </c>
      <c r="C655" s="3">
        <v>10000581438</v>
      </c>
      <c r="D655" s="3" t="s">
        <v>9</v>
      </c>
      <c r="E655" s="3" t="s">
        <v>37</v>
      </c>
      <c r="F655" s="3" t="s">
        <v>51</v>
      </c>
      <c r="G655" s="3"/>
      <c r="H655" s="6" t="s">
        <v>611</v>
      </c>
      <c r="I655" s="6" t="s">
        <v>14</v>
      </c>
      <c r="J655" s="5">
        <v>45582.380206041664</v>
      </c>
      <c r="K655" s="7">
        <f t="shared" si="9"/>
        <v>0.50967905091965804</v>
      </c>
    </row>
    <row r="656" spans="1:11" x14ac:dyDescent="0.25">
      <c r="A656" s="5">
        <v>45582.029859479167</v>
      </c>
      <c r="B656" s="3" t="s">
        <v>612</v>
      </c>
      <c r="C656" s="3">
        <v>10000457640</v>
      </c>
      <c r="D656" s="3" t="s">
        <v>104</v>
      </c>
      <c r="E656" s="3" t="s">
        <v>242</v>
      </c>
      <c r="F656" s="3" t="s">
        <v>6</v>
      </c>
      <c r="G656" s="3"/>
      <c r="H656" s="6" t="s">
        <v>613</v>
      </c>
      <c r="I656" s="6" t="s">
        <v>14</v>
      </c>
      <c r="J656" s="5">
        <v>45582.636162696763</v>
      </c>
      <c r="K656" s="7">
        <f t="shared" si="9"/>
        <v>0.60630321759526851</v>
      </c>
    </row>
    <row r="657" spans="1:11" x14ac:dyDescent="0.25">
      <c r="A657" s="5">
        <v>45582.447598564817</v>
      </c>
      <c r="B657" s="3" t="s">
        <v>614</v>
      </c>
      <c r="C657" s="3">
        <v>10000006824</v>
      </c>
      <c r="D657" s="3" t="s">
        <v>104</v>
      </c>
      <c r="E657" s="3" t="s">
        <v>185</v>
      </c>
      <c r="F657" s="3" t="s">
        <v>6</v>
      </c>
      <c r="G657" s="3"/>
      <c r="H657" s="6" t="s">
        <v>615</v>
      </c>
      <c r="I657" s="6" t="s">
        <v>14</v>
      </c>
      <c r="J657" s="5">
        <v>45582.489478796298</v>
      </c>
      <c r="K657" s="7">
        <f t="shared" si="9"/>
        <v>4.1880231481627561E-2</v>
      </c>
    </row>
    <row r="658" spans="1:11" x14ac:dyDescent="0.25">
      <c r="A658" s="5">
        <v>45582.787368495374</v>
      </c>
      <c r="B658" s="3" t="s">
        <v>4</v>
      </c>
      <c r="C658" s="3">
        <v>6963530001</v>
      </c>
      <c r="D658" s="3" t="s">
        <v>9</v>
      </c>
      <c r="E658" s="3" t="s">
        <v>67</v>
      </c>
      <c r="F658" s="3" t="s">
        <v>6</v>
      </c>
      <c r="G658" s="3"/>
      <c r="H658" s="6" t="s">
        <v>259</v>
      </c>
      <c r="I658" s="6" t="s">
        <v>14</v>
      </c>
      <c r="J658" s="5">
        <v>45582.790673634256</v>
      </c>
      <c r="K658" s="7">
        <f t="shared" si="9"/>
        <v>3.3051388818421401E-3</v>
      </c>
    </row>
    <row r="659" spans="1:11" x14ac:dyDescent="0.25">
      <c r="A659" s="5">
        <v>45582.794265775461</v>
      </c>
      <c r="B659" s="3" t="s">
        <v>4</v>
      </c>
      <c r="C659" s="3">
        <v>6963530001</v>
      </c>
      <c r="D659" s="3" t="s">
        <v>9</v>
      </c>
      <c r="E659" s="3" t="s">
        <v>67</v>
      </c>
      <c r="F659" s="3" t="s">
        <v>6</v>
      </c>
      <c r="G659" s="3"/>
      <c r="H659" s="6" t="s">
        <v>259</v>
      </c>
      <c r="I659" s="6" t="s">
        <v>14</v>
      </c>
      <c r="J659" s="5">
        <v>45582.798245694445</v>
      </c>
      <c r="K659" s="7">
        <f t="shared" si="9"/>
        <v>3.9799189835321158E-3</v>
      </c>
    </row>
    <row r="660" spans="1:11" x14ac:dyDescent="0.25">
      <c r="A660" s="5">
        <v>45583.371752523148</v>
      </c>
      <c r="B660" s="3" t="s">
        <v>4</v>
      </c>
      <c r="C660" s="3">
        <v>10000000824</v>
      </c>
      <c r="D660" s="3" t="s">
        <v>9</v>
      </c>
      <c r="E660" s="3" t="s">
        <v>149</v>
      </c>
      <c r="F660" s="3" t="s">
        <v>6</v>
      </c>
      <c r="G660" s="3"/>
      <c r="H660" s="6" t="s">
        <v>42</v>
      </c>
      <c r="I660" s="6" t="s">
        <v>13</v>
      </c>
      <c r="J660" s="5">
        <v>45583.372916666667</v>
      </c>
      <c r="K660" s="7">
        <f t="shared" si="9"/>
        <v>1.1641435194178484E-3</v>
      </c>
    </row>
    <row r="661" spans="1:11" x14ac:dyDescent="0.25">
      <c r="A661" s="5">
        <v>45583.37245354167</v>
      </c>
      <c r="B661" s="3" t="s">
        <v>616</v>
      </c>
      <c r="C661" s="3">
        <v>10000581483</v>
      </c>
      <c r="D661" s="3" t="s">
        <v>9</v>
      </c>
      <c r="E661" s="3" t="s">
        <v>149</v>
      </c>
      <c r="F661" s="3" t="s">
        <v>51</v>
      </c>
      <c r="G661" s="3"/>
      <c r="H661" s="6" t="s">
        <v>323</v>
      </c>
      <c r="I661" s="6" t="s">
        <v>13</v>
      </c>
      <c r="J661" s="5">
        <v>45583.373611111114</v>
      </c>
      <c r="K661" s="7">
        <f t="shared" si="9"/>
        <v>1.1575694443308748E-3</v>
      </c>
    </row>
    <row r="662" spans="1:11" x14ac:dyDescent="0.25">
      <c r="A662" s="5">
        <v>45585.388194444444</v>
      </c>
      <c r="B662" s="3" t="s">
        <v>618</v>
      </c>
      <c r="C662" s="3">
        <v>10000006824</v>
      </c>
      <c r="D662" s="3" t="s">
        <v>104</v>
      </c>
      <c r="E662" s="3" t="s">
        <v>185</v>
      </c>
      <c r="F662" s="3" t="s">
        <v>6</v>
      </c>
      <c r="G662" s="3"/>
      <c r="H662" s="6" t="s">
        <v>619</v>
      </c>
      <c r="I662" s="6" t="s">
        <v>14</v>
      </c>
      <c r="J662" s="5">
        <v>45585.411111111112</v>
      </c>
      <c r="K662" s="7">
        <f t="shared" si="9"/>
        <v>2.2916666668606922E-2</v>
      </c>
    </row>
    <row r="663" spans="1:11" x14ac:dyDescent="0.25">
      <c r="A663" s="5">
        <v>45587.45208333333</v>
      </c>
      <c r="B663" s="3" t="s">
        <v>4</v>
      </c>
      <c r="C663" s="3">
        <v>10000577752</v>
      </c>
      <c r="D663" s="3" t="s">
        <v>9</v>
      </c>
      <c r="E663" s="3" t="s">
        <v>21</v>
      </c>
      <c r="F663" s="3" t="s">
        <v>6</v>
      </c>
      <c r="G663" s="3"/>
      <c r="H663" s="6" t="s">
        <v>42</v>
      </c>
      <c r="I663" s="6" t="s">
        <v>13</v>
      </c>
      <c r="J663" s="5">
        <v>45587.736111111109</v>
      </c>
      <c r="K663" s="7">
        <f t="shared" si="9"/>
        <v>0.28402777777955635</v>
      </c>
    </row>
    <row r="664" spans="1:11" x14ac:dyDescent="0.25">
      <c r="A664" s="5">
        <v>45587.532638888886</v>
      </c>
      <c r="B664" s="3" t="s">
        <v>553</v>
      </c>
      <c r="C664" s="3">
        <v>10000058625</v>
      </c>
      <c r="D664" s="3" t="s">
        <v>9</v>
      </c>
      <c r="E664" s="3" t="s">
        <v>41</v>
      </c>
      <c r="F664" s="3" t="s">
        <v>548</v>
      </c>
      <c r="G664" s="3"/>
      <c r="H664" s="6" t="s">
        <v>549</v>
      </c>
      <c r="I664" s="6" t="s">
        <v>14</v>
      </c>
      <c r="J664" s="5">
        <v>45587.612500000003</v>
      </c>
      <c r="K664" s="7">
        <f t="shared" si="9"/>
        <v>7.9861111116770189E-2</v>
      </c>
    </row>
    <row r="665" spans="1:11" x14ac:dyDescent="0.25">
      <c r="A665" s="5">
        <v>45587.532638888886</v>
      </c>
      <c r="B665" s="3" t="s">
        <v>552</v>
      </c>
      <c r="C665" s="3">
        <v>10000058627</v>
      </c>
      <c r="D665" s="3" t="s">
        <v>9</v>
      </c>
      <c r="E665" s="3" t="s">
        <v>160</v>
      </c>
      <c r="F665" s="3" t="s">
        <v>548</v>
      </c>
      <c r="G665" s="3"/>
      <c r="H665" s="6" t="s">
        <v>549</v>
      </c>
      <c r="I665" s="6" t="s">
        <v>14</v>
      </c>
      <c r="J665" s="5">
        <v>45587.612500000003</v>
      </c>
      <c r="K665" s="7">
        <f t="shared" si="9"/>
        <v>7.9861111116770189E-2</v>
      </c>
    </row>
    <row r="666" spans="1:11" x14ac:dyDescent="0.25">
      <c r="A666" s="5">
        <v>45587.532638888886</v>
      </c>
      <c r="B666" s="3" t="s">
        <v>551</v>
      </c>
      <c r="C666" s="3">
        <v>10000058781</v>
      </c>
      <c r="D666" s="3" t="s">
        <v>9</v>
      </c>
      <c r="E666" s="3" t="s">
        <v>247</v>
      </c>
      <c r="F666" s="3" t="s">
        <v>548</v>
      </c>
      <c r="G666" s="3"/>
      <c r="H666" s="6" t="s">
        <v>549</v>
      </c>
      <c r="I666" s="6" t="s">
        <v>14</v>
      </c>
      <c r="J666" s="5">
        <v>45587.612500000003</v>
      </c>
      <c r="K666" s="7">
        <f t="shared" si="9"/>
        <v>7.9861111116770189E-2</v>
      </c>
    </row>
    <row r="667" spans="1:11" x14ac:dyDescent="0.25">
      <c r="A667" s="5">
        <v>45587.532638888886</v>
      </c>
      <c r="B667" s="3" t="s">
        <v>550</v>
      </c>
      <c r="C667" s="3">
        <v>6963530001</v>
      </c>
      <c r="D667" s="3" t="s">
        <v>9</v>
      </c>
      <c r="E667" s="3" t="s">
        <v>67</v>
      </c>
      <c r="F667" s="3" t="s">
        <v>548</v>
      </c>
      <c r="G667" s="3"/>
      <c r="H667" s="6" t="s">
        <v>549</v>
      </c>
      <c r="I667" s="6" t="s">
        <v>14</v>
      </c>
      <c r="J667" s="5">
        <v>45587.612500000003</v>
      </c>
      <c r="K667" s="7">
        <f t="shared" si="9"/>
        <v>7.9861111116770189E-2</v>
      </c>
    </row>
    <row r="668" spans="1:11" x14ac:dyDescent="0.25">
      <c r="A668" s="5">
        <v>45587.532638888886</v>
      </c>
      <c r="B668" s="3" t="s">
        <v>547</v>
      </c>
      <c r="C668" s="3">
        <v>7853300001</v>
      </c>
      <c r="D668" s="3" t="s">
        <v>9</v>
      </c>
      <c r="E668" s="3" t="s">
        <v>19</v>
      </c>
      <c r="F668" s="3" t="s">
        <v>548</v>
      </c>
      <c r="G668" s="3"/>
      <c r="H668" s="6" t="s">
        <v>549</v>
      </c>
      <c r="I668" s="6" t="s">
        <v>14</v>
      </c>
      <c r="J668" s="5">
        <v>45587.612500000003</v>
      </c>
      <c r="K668" s="7">
        <f t="shared" si="9"/>
        <v>7.9861111116770189E-2</v>
      </c>
    </row>
    <row r="669" spans="1:11" x14ac:dyDescent="0.25">
      <c r="A669" s="5">
        <v>45587.761805555558</v>
      </c>
      <c r="B669" s="3" t="s">
        <v>4</v>
      </c>
      <c r="C669" s="3">
        <v>10000577752</v>
      </c>
      <c r="D669" s="3" t="s">
        <v>9</v>
      </c>
      <c r="E669" s="3" t="s">
        <v>21</v>
      </c>
      <c r="F669" s="3" t="s">
        <v>6</v>
      </c>
      <c r="G669" s="3"/>
      <c r="H669" s="6" t="s">
        <v>42</v>
      </c>
      <c r="I669" s="6" t="s">
        <v>13</v>
      </c>
      <c r="J669" s="5">
        <v>45587.763194444444</v>
      </c>
      <c r="K669" s="7">
        <f t="shared" si="9"/>
        <v>1.3888888861401938E-3</v>
      </c>
    </row>
    <row r="670" spans="1:11" x14ac:dyDescent="0.25">
      <c r="A670" s="5">
        <v>45588.345138888886</v>
      </c>
      <c r="B670" s="3" t="s">
        <v>4</v>
      </c>
      <c r="C670" s="3">
        <v>10000004781</v>
      </c>
      <c r="D670" s="3" t="s">
        <v>45</v>
      </c>
      <c r="E670" s="3" t="s">
        <v>44</v>
      </c>
      <c r="F670" s="3" t="s">
        <v>6</v>
      </c>
      <c r="G670" s="3"/>
      <c r="H670" s="6" t="s">
        <v>42</v>
      </c>
      <c r="I670" s="6" t="s">
        <v>13</v>
      </c>
      <c r="J670" s="5">
        <v>45588.352083333331</v>
      </c>
      <c r="K670" s="7">
        <f t="shared" si="9"/>
        <v>6.9444444452528842E-3</v>
      </c>
    </row>
    <row r="671" spans="1:11" x14ac:dyDescent="0.25">
      <c r="A671" s="5">
        <v>45588.463194444441</v>
      </c>
      <c r="B671" s="3" t="s">
        <v>4</v>
      </c>
      <c r="C671" s="3">
        <v>10000577752</v>
      </c>
      <c r="D671" s="3" t="s">
        <v>9</v>
      </c>
      <c r="E671" s="3" t="s">
        <v>21</v>
      </c>
      <c r="F671" s="3" t="s">
        <v>6</v>
      </c>
      <c r="G671" s="3"/>
      <c r="H671" s="6" t="s">
        <v>42</v>
      </c>
      <c r="I671" s="6" t="s">
        <v>13</v>
      </c>
      <c r="J671" s="5">
        <v>45588.78125</v>
      </c>
      <c r="K671" s="7">
        <f t="shared" si="9"/>
        <v>0.31805555555911269</v>
      </c>
    </row>
    <row r="672" spans="1:11" x14ac:dyDescent="0.25">
      <c r="A672" s="5">
        <v>45589.038888888892</v>
      </c>
      <c r="B672" s="3" t="s">
        <v>4</v>
      </c>
      <c r="C672" s="3">
        <v>10000058625</v>
      </c>
      <c r="D672" s="3" t="s">
        <v>9</v>
      </c>
      <c r="E672" s="3" t="s">
        <v>41</v>
      </c>
      <c r="F672" s="3" t="s">
        <v>6</v>
      </c>
      <c r="G672" s="3"/>
      <c r="H672" s="6" t="s">
        <v>554</v>
      </c>
      <c r="I672" s="6" t="s">
        <v>14</v>
      </c>
      <c r="J672" s="5">
        <v>45589.038888888892</v>
      </c>
      <c r="K672" s="7">
        <f t="shared" si="9"/>
        <v>0</v>
      </c>
    </row>
    <row r="673" spans="1:11" x14ac:dyDescent="0.25">
      <c r="A673" s="5">
        <v>45589.040972222225</v>
      </c>
      <c r="B673" s="3" t="s">
        <v>4</v>
      </c>
      <c r="C673" s="3">
        <v>10000022234</v>
      </c>
      <c r="D673" s="3" t="s">
        <v>9</v>
      </c>
      <c r="E673" s="3" t="s">
        <v>100</v>
      </c>
      <c r="F673" s="3" t="s">
        <v>6</v>
      </c>
      <c r="G673" s="3"/>
      <c r="H673" s="6" t="s">
        <v>554</v>
      </c>
      <c r="I673" s="6" t="s">
        <v>14</v>
      </c>
      <c r="J673" s="5">
        <v>45589.043749999997</v>
      </c>
      <c r="K673" s="7">
        <f t="shared" si="9"/>
        <v>2.7777777722803876E-3</v>
      </c>
    </row>
    <row r="674" spans="1:11" x14ac:dyDescent="0.25">
      <c r="A674" s="5">
        <v>45589.182638888888</v>
      </c>
      <c r="B674" s="3" t="s">
        <v>4</v>
      </c>
      <c r="C674" s="3">
        <v>10000347457</v>
      </c>
      <c r="D674" s="3" t="s">
        <v>9</v>
      </c>
      <c r="E674" s="3" t="s">
        <v>93</v>
      </c>
      <c r="F674" s="3" t="s">
        <v>6</v>
      </c>
      <c r="G674" s="3"/>
      <c r="H674" s="6" t="s">
        <v>42</v>
      </c>
      <c r="I674" s="6" t="s">
        <v>13</v>
      </c>
      <c r="J674" s="5">
        <v>45589.347222222219</v>
      </c>
      <c r="K674" s="7">
        <f t="shared" si="9"/>
        <v>0.16458333333139308</v>
      </c>
    </row>
    <row r="675" spans="1:11" x14ac:dyDescent="0.25">
      <c r="A675" s="5">
        <v>45589.277777777781</v>
      </c>
      <c r="B675" s="3" t="s">
        <v>620</v>
      </c>
      <c r="C675" s="3">
        <v>10000006824</v>
      </c>
      <c r="D675" s="3" t="s">
        <v>104</v>
      </c>
      <c r="E675" s="3" t="s">
        <v>185</v>
      </c>
      <c r="F675" s="3" t="s">
        <v>6</v>
      </c>
      <c r="G675" s="3"/>
      <c r="H675" s="6" t="s">
        <v>555</v>
      </c>
      <c r="I675" s="6" t="s">
        <v>13</v>
      </c>
      <c r="J675" s="5">
        <v>45589.301388888889</v>
      </c>
      <c r="K675" s="7">
        <f t="shared" si="9"/>
        <v>2.361111110803904E-2</v>
      </c>
    </row>
    <row r="676" spans="1:11" x14ac:dyDescent="0.25">
      <c r="A676" s="5">
        <v>45589.409722222219</v>
      </c>
      <c r="B676" s="3" t="s">
        <v>624</v>
      </c>
      <c r="C676" s="3">
        <v>10000372573</v>
      </c>
      <c r="D676" s="3" t="s">
        <v>10</v>
      </c>
      <c r="E676" s="3" t="s">
        <v>64</v>
      </c>
      <c r="F676" s="3" t="s">
        <v>622</v>
      </c>
      <c r="G676" s="3"/>
      <c r="H676" s="6" t="s">
        <v>625</v>
      </c>
      <c r="I676" s="6" t="s">
        <v>14</v>
      </c>
      <c r="J676" s="5">
        <v>45589.559027777781</v>
      </c>
      <c r="K676" s="7">
        <f t="shared" si="9"/>
        <v>0.14930555556202307</v>
      </c>
    </row>
    <row r="677" spans="1:11" x14ac:dyDescent="0.25">
      <c r="A677" s="5">
        <v>45589.515277777777</v>
      </c>
      <c r="B677" s="3" t="s">
        <v>4</v>
      </c>
      <c r="C677" s="3">
        <v>10000052781</v>
      </c>
      <c r="D677" s="3" t="s">
        <v>10</v>
      </c>
      <c r="E677" s="3" t="s">
        <v>124</v>
      </c>
      <c r="F677" s="3" t="s">
        <v>6</v>
      </c>
      <c r="G677" s="3"/>
      <c r="H677" s="6" t="s">
        <v>555</v>
      </c>
      <c r="I677" s="6" t="s">
        <v>13</v>
      </c>
      <c r="J677" s="5">
        <v>45589.820138888892</v>
      </c>
      <c r="K677" s="7">
        <f t="shared" si="9"/>
        <v>0.304861111115315</v>
      </c>
    </row>
    <row r="678" spans="1:11" x14ac:dyDescent="0.25">
      <c r="A678" s="5">
        <v>45589.515972222223</v>
      </c>
      <c r="B678" s="3" t="s">
        <v>4</v>
      </c>
      <c r="C678" s="3">
        <v>10000379551</v>
      </c>
      <c r="D678" s="3" t="s">
        <v>10</v>
      </c>
      <c r="E678" s="3" t="s">
        <v>56</v>
      </c>
      <c r="F678" s="3" t="s">
        <v>6</v>
      </c>
      <c r="G678" s="3"/>
      <c r="H678" s="6" t="s">
        <v>555</v>
      </c>
      <c r="I678" s="6" t="s">
        <v>13</v>
      </c>
      <c r="J678" s="5">
        <v>45589.993750000001</v>
      </c>
      <c r="K678" s="7">
        <f t="shared" si="9"/>
        <v>0.47777777777810115</v>
      </c>
    </row>
    <row r="679" spans="1:11" x14ac:dyDescent="0.25">
      <c r="A679" s="5">
        <v>45589.824999999997</v>
      </c>
      <c r="B679" s="3" t="s">
        <v>4</v>
      </c>
      <c r="C679" s="3">
        <v>10000347457</v>
      </c>
      <c r="D679" s="3" t="s">
        <v>9</v>
      </c>
      <c r="E679" s="3" t="s">
        <v>93</v>
      </c>
      <c r="F679" s="3" t="s">
        <v>6</v>
      </c>
      <c r="G679" s="3"/>
      <c r="H679" s="6" t="s">
        <v>42</v>
      </c>
      <c r="I679" s="6" t="s">
        <v>13</v>
      </c>
      <c r="J679" s="5">
        <v>45589.833333333336</v>
      </c>
      <c r="K679" s="7">
        <f t="shared" si="9"/>
        <v>8.3333333386690356E-3</v>
      </c>
    </row>
    <row r="680" spans="1:11" x14ac:dyDescent="0.25">
      <c r="A680" s="5">
        <v>45590.69027777778</v>
      </c>
      <c r="B680" s="3" t="s">
        <v>556</v>
      </c>
      <c r="C680" s="3">
        <v>7810530001</v>
      </c>
      <c r="D680" s="3" t="s">
        <v>9</v>
      </c>
      <c r="E680" s="3" t="s">
        <v>26</v>
      </c>
      <c r="F680" s="3" t="s">
        <v>6</v>
      </c>
      <c r="G680" s="3"/>
      <c r="H680" s="6" t="s">
        <v>557</v>
      </c>
      <c r="I680" s="6" t="s">
        <v>14</v>
      </c>
      <c r="J680" s="5">
        <v>45590.848611111112</v>
      </c>
      <c r="K680" s="7">
        <f t="shared" si="9"/>
        <v>0.15833333333284827</v>
      </c>
    </row>
    <row r="681" spans="1:11" x14ac:dyDescent="0.25">
      <c r="A681" s="5">
        <v>45590.699305555558</v>
      </c>
      <c r="B681" s="3" t="s">
        <v>4</v>
      </c>
      <c r="C681" s="3">
        <v>10000577752</v>
      </c>
      <c r="D681" s="3" t="s">
        <v>9</v>
      </c>
      <c r="E681" s="3" t="s">
        <v>21</v>
      </c>
      <c r="F681" s="3" t="s">
        <v>6</v>
      </c>
      <c r="G681" s="3"/>
      <c r="H681" s="6" t="s">
        <v>42</v>
      </c>
      <c r="I681" s="6" t="s">
        <v>13</v>
      </c>
      <c r="J681" s="5">
        <v>45590.700694444444</v>
      </c>
      <c r="K681" s="7">
        <f t="shared" si="9"/>
        <v>1.3888888861401938E-3</v>
      </c>
    </row>
    <row r="682" spans="1:11" x14ac:dyDescent="0.25">
      <c r="A682" s="5">
        <v>45591.44027777778</v>
      </c>
      <c r="B682" s="3" t="s">
        <v>558</v>
      </c>
      <c r="C682" s="3">
        <v>10000022234</v>
      </c>
      <c r="D682" s="3" t="s">
        <v>9</v>
      </c>
      <c r="E682" s="3" t="s">
        <v>100</v>
      </c>
      <c r="F682" s="3" t="s">
        <v>6</v>
      </c>
      <c r="G682" s="3"/>
      <c r="H682" s="6" t="s">
        <v>559</v>
      </c>
      <c r="I682" s="6" t="s">
        <v>14</v>
      </c>
      <c r="J682" s="5">
        <v>45591.543055555558</v>
      </c>
      <c r="K682" s="7">
        <f t="shared" si="9"/>
        <v>0.10277777777810115</v>
      </c>
    </row>
    <row r="683" spans="1:11" x14ac:dyDescent="0.25">
      <c r="A683" s="5">
        <v>45591.470833333333</v>
      </c>
      <c r="B683" s="3" t="s">
        <v>4</v>
      </c>
      <c r="C683" s="3">
        <v>10000347457</v>
      </c>
      <c r="D683" s="3" t="s">
        <v>9</v>
      </c>
      <c r="E683" s="3" t="s">
        <v>93</v>
      </c>
      <c r="F683" s="3" t="s">
        <v>6</v>
      </c>
      <c r="G683" s="3"/>
      <c r="H683" s="6" t="s">
        <v>42</v>
      </c>
      <c r="I683" s="6" t="s">
        <v>13</v>
      </c>
      <c r="J683" s="5">
        <v>45591.482638888891</v>
      </c>
      <c r="K683" s="7">
        <f t="shared" si="9"/>
        <v>1.1805555557657499E-2</v>
      </c>
    </row>
    <row r="684" spans="1:11" x14ac:dyDescent="0.25">
      <c r="A684" s="5">
        <v>45591.584027777775</v>
      </c>
      <c r="B684" s="3" t="s">
        <v>560</v>
      </c>
      <c r="C684" s="3">
        <v>10000058625</v>
      </c>
      <c r="D684" s="3" t="s">
        <v>9</v>
      </c>
      <c r="E684" s="3" t="s">
        <v>41</v>
      </c>
      <c r="F684" s="3" t="s">
        <v>6</v>
      </c>
      <c r="G684" s="3"/>
      <c r="H684" s="6" t="s">
        <v>559</v>
      </c>
      <c r="I684" s="6" t="s">
        <v>14</v>
      </c>
      <c r="J684" s="5">
        <v>45592.697222222225</v>
      </c>
      <c r="K684" s="7">
        <f t="shared" ref="K684:K748" si="10">J684-A684</f>
        <v>1.1131944444496185</v>
      </c>
    </row>
    <row r="685" spans="1:11" x14ac:dyDescent="0.25">
      <c r="A685" s="5">
        <v>45591.728472222225</v>
      </c>
      <c r="B685" s="3" t="s">
        <v>4</v>
      </c>
      <c r="C685" s="3">
        <v>6963530001</v>
      </c>
      <c r="D685" s="3" t="s">
        <v>9</v>
      </c>
      <c r="E685" s="3" t="s">
        <v>67</v>
      </c>
      <c r="F685" s="3" t="s">
        <v>6</v>
      </c>
      <c r="G685" s="3"/>
      <c r="H685" s="6" t="s">
        <v>42</v>
      </c>
      <c r="I685" s="6" t="s">
        <v>13</v>
      </c>
      <c r="J685" s="5">
        <v>45591.728472222225</v>
      </c>
      <c r="K685" s="7">
        <f t="shared" si="10"/>
        <v>0</v>
      </c>
    </row>
    <row r="686" spans="1:11" x14ac:dyDescent="0.25">
      <c r="A686" s="5">
        <v>45592.309027777781</v>
      </c>
      <c r="B686" s="3" t="s">
        <v>4</v>
      </c>
      <c r="C686" s="3">
        <v>10000081665</v>
      </c>
      <c r="D686" s="3" t="s">
        <v>10</v>
      </c>
      <c r="E686" s="3" t="s">
        <v>49</v>
      </c>
      <c r="F686" s="3" t="s">
        <v>6</v>
      </c>
      <c r="G686" s="3"/>
      <c r="H686" s="6" t="s">
        <v>42</v>
      </c>
      <c r="I686" s="6" t="s">
        <v>13</v>
      </c>
      <c r="J686" s="5">
        <v>45592.329861111109</v>
      </c>
      <c r="K686" s="7">
        <f t="shared" si="10"/>
        <v>2.0833333328482695E-2</v>
      </c>
    </row>
    <row r="687" spans="1:11" x14ac:dyDescent="0.25">
      <c r="A687" s="5">
        <v>45593.407638888886</v>
      </c>
      <c r="B687" s="3" t="s">
        <v>4</v>
      </c>
      <c r="C687" s="3">
        <v>10000577752</v>
      </c>
      <c r="D687" s="3" t="s">
        <v>9</v>
      </c>
      <c r="E687" s="3" t="s">
        <v>21</v>
      </c>
      <c r="F687" s="3" t="s">
        <v>6</v>
      </c>
      <c r="G687" s="3"/>
      <c r="H687" s="6" t="s">
        <v>42</v>
      </c>
      <c r="I687" s="6" t="s">
        <v>13</v>
      </c>
      <c r="J687" s="5">
        <v>45593.451388888891</v>
      </c>
      <c r="K687" s="7">
        <f t="shared" si="10"/>
        <v>4.3750000004365575E-2</v>
      </c>
    </row>
    <row r="688" spans="1:11" x14ac:dyDescent="0.25">
      <c r="A688" s="5">
        <v>45593.456250000003</v>
      </c>
      <c r="B688" s="3" t="s">
        <v>4</v>
      </c>
      <c r="C688" s="3">
        <v>10000577752</v>
      </c>
      <c r="D688" s="3" t="s">
        <v>9</v>
      </c>
      <c r="E688" s="3" t="s">
        <v>21</v>
      </c>
      <c r="F688" s="3" t="s">
        <v>6</v>
      </c>
      <c r="G688" s="3"/>
      <c r="H688" s="6" t="s">
        <v>42</v>
      </c>
      <c r="I688" s="6" t="s">
        <v>13</v>
      </c>
      <c r="J688" s="5">
        <v>45593.523611111108</v>
      </c>
      <c r="K688" s="7">
        <f t="shared" si="10"/>
        <v>6.7361111105128657E-2</v>
      </c>
    </row>
    <row r="689" spans="1:11" x14ac:dyDescent="0.25">
      <c r="A689" s="5">
        <v>45593.518055555556</v>
      </c>
      <c r="B689" s="3" t="s">
        <v>561</v>
      </c>
      <c r="C689" s="3">
        <v>6999070001</v>
      </c>
      <c r="D689" s="3" t="s">
        <v>10</v>
      </c>
      <c r="E689" s="3" t="s">
        <v>86</v>
      </c>
      <c r="F689" s="3" t="s">
        <v>6</v>
      </c>
      <c r="G689" s="3"/>
      <c r="H689" s="6" t="s">
        <v>562</v>
      </c>
      <c r="I689" s="6" t="s">
        <v>14</v>
      </c>
      <c r="J689" s="5">
        <v>45593.546527777777</v>
      </c>
      <c r="K689" s="7">
        <f t="shared" si="10"/>
        <v>2.8472222220443655E-2</v>
      </c>
    </row>
    <row r="690" spans="1:11" x14ac:dyDescent="0.25">
      <c r="A690" s="5">
        <v>45593.59375</v>
      </c>
      <c r="B690" s="3" t="s">
        <v>561</v>
      </c>
      <c r="C690" s="3">
        <v>6999070001</v>
      </c>
      <c r="D690" s="3" t="s">
        <v>10</v>
      </c>
      <c r="E690" s="3" t="s">
        <v>86</v>
      </c>
      <c r="F690" s="3" t="s">
        <v>6</v>
      </c>
      <c r="G690" s="3"/>
      <c r="H690" s="6" t="s">
        <v>562</v>
      </c>
      <c r="I690" s="6" t="s">
        <v>14</v>
      </c>
      <c r="J690" s="5">
        <v>45593.650694444441</v>
      </c>
      <c r="K690" s="7">
        <f t="shared" si="10"/>
        <v>5.694444444088731E-2</v>
      </c>
    </row>
    <row r="691" spans="1:11" x14ac:dyDescent="0.25">
      <c r="A691" s="5">
        <v>45593.656944444447</v>
      </c>
      <c r="B691" s="3" t="s">
        <v>4</v>
      </c>
      <c r="C691" s="3">
        <v>10000577752</v>
      </c>
      <c r="D691" s="3" t="s">
        <v>9</v>
      </c>
      <c r="E691" s="3" t="s">
        <v>21</v>
      </c>
      <c r="F691" s="3" t="s">
        <v>6</v>
      </c>
      <c r="G691" s="3"/>
      <c r="H691" s="6" t="s">
        <v>42</v>
      </c>
      <c r="I691" s="6" t="s">
        <v>13</v>
      </c>
      <c r="J691" s="5">
        <v>45593.724999999999</v>
      </c>
      <c r="K691" s="7">
        <f t="shared" si="10"/>
        <v>6.8055555551836733E-2</v>
      </c>
    </row>
    <row r="692" spans="1:11" x14ac:dyDescent="0.25">
      <c r="A692" s="5">
        <v>45593.661805555559</v>
      </c>
      <c r="B692" s="3" t="s">
        <v>4</v>
      </c>
      <c r="C692" s="3">
        <v>10000347457</v>
      </c>
      <c r="D692" s="3" t="s">
        <v>9</v>
      </c>
      <c r="E692" s="3" t="s">
        <v>93</v>
      </c>
      <c r="F692" s="3" t="s">
        <v>6</v>
      </c>
      <c r="G692" s="3"/>
      <c r="H692" s="6" t="s">
        <v>42</v>
      </c>
      <c r="I692" s="6" t="s">
        <v>13</v>
      </c>
      <c r="J692" s="5">
        <v>45593.674305555556</v>
      </c>
      <c r="K692" s="7">
        <f t="shared" si="10"/>
        <v>1.2499999997089617E-2</v>
      </c>
    </row>
    <row r="693" spans="1:11" x14ac:dyDescent="0.25">
      <c r="A693" s="5">
        <v>45593.666666666664</v>
      </c>
      <c r="B693" s="3" t="s">
        <v>561</v>
      </c>
      <c r="C693" s="3">
        <v>6999070001</v>
      </c>
      <c r="D693" s="3" t="s">
        <v>10</v>
      </c>
      <c r="E693" s="3" t="s">
        <v>86</v>
      </c>
      <c r="F693" s="3" t="s">
        <v>6</v>
      </c>
      <c r="G693" s="3"/>
      <c r="H693" s="6" t="s">
        <v>578</v>
      </c>
      <c r="I693" s="6" t="s">
        <v>14</v>
      </c>
      <c r="J693" s="5">
        <v>45604.548611111109</v>
      </c>
      <c r="K693" s="7">
        <f t="shared" si="10"/>
        <v>10.881944444445253</v>
      </c>
    </row>
    <row r="694" spans="1:11" x14ac:dyDescent="0.25">
      <c r="A694" s="5">
        <v>45594.376388888886</v>
      </c>
      <c r="B694" s="3" t="s">
        <v>566</v>
      </c>
      <c r="C694" s="3">
        <v>10000457638</v>
      </c>
      <c r="D694" s="3" t="s">
        <v>104</v>
      </c>
      <c r="E694" s="3" t="s">
        <v>107</v>
      </c>
      <c r="F694" s="3" t="s">
        <v>6</v>
      </c>
      <c r="G694" s="3"/>
      <c r="H694" s="6" t="s">
        <v>565</v>
      </c>
      <c r="I694" s="6" t="s">
        <v>14</v>
      </c>
      <c r="J694" s="5">
        <v>45594.926388888889</v>
      </c>
      <c r="K694" s="7">
        <f t="shared" si="10"/>
        <v>0.55000000000291038</v>
      </c>
    </row>
    <row r="695" spans="1:11" x14ac:dyDescent="0.25">
      <c r="A695" s="5">
        <v>45594.376388888886</v>
      </c>
      <c r="B695" s="3" t="s">
        <v>564</v>
      </c>
      <c r="C695" s="3">
        <v>6999100001</v>
      </c>
      <c r="D695" s="3" t="s">
        <v>10</v>
      </c>
      <c r="E695" s="3" t="s">
        <v>95</v>
      </c>
      <c r="F695" s="3" t="s">
        <v>6</v>
      </c>
      <c r="G695" s="3"/>
      <c r="H695" s="6" t="s">
        <v>565</v>
      </c>
      <c r="I695" s="6" t="s">
        <v>14</v>
      </c>
      <c r="J695" s="5">
        <v>45594.740277777775</v>
      </c>
      <c r="K695" s="7">
        <f t="shared" si="10"/>
        <v>0.36388888888905058</v>
      </c>
    </row>
    <row r="696" spans="1:11" x14ac:dyDescent="0.25">
      <c r="A696" s="5">
        <v>45595.136805555558</v>
      </c>
      <c r="B696" s="3" t="s">
        <v>4</v>
      </c>
      <c r="C696" s="3">
        <v>10000347457</v>
      </c>
      <c r="D696" s="3" t="s">
        <v>9</v>
      </c>
      <c r="E696" s="3" t="s">
        <v>93</v>
      </c>
      <c r="F696" s="3" t="s">
        <v>6</v>
      </c>
      <c r="G696" s="3"/>
      <c r="H696" s="6" t="s">
        <v>42</v>
      </c>
      <c r="I696" s="6" t="s">
        <v>13</v>
      </c>
      <c r="J696" s="5">
        <v>45595.138888888891</v>
      </c>
      <c r="K696" s="7">
        <f t="shared" si="10"/>
        <v>2.0833333328482695E-3</v>
      </c>
    </row>
    <row r="697" spans="1:11" x14ac:dyDescent="0.25">
      <c r="A697" s="5">
        <v>45595.209027777775</v>
      </c>
      <c r="B697" s="3" t="s">
        <v>4</v>
      </c>
      <c r="C697" s="3">
        <v>10000011130</v>
      </c>
      <c r="D697" s="3" t="s">
        <v>17</v>
      </c>
      <c r="E697" s="3" t="s">
        <v>15</v>
      </c>
      <c r="F697" s="3" t="s">
        <v>6</v>
      </c>
      <c r="G697" s="3"/>
      <c r="H697" s="6" t="s">
        <v>42</v>
      </c>
      <c r="I697" s="6" t="s">
        <v>13</v>
      </c>
      <c r="J697" s="5">
        <v>45595.210416666669</v>
      </c>
      <c r="K697" s="7">
        <f t="shared" si="10"/>
        <v>1.3888888934161514E-3</v>
      </c>
    </row>
    <row r="698" spans="1:11" x14ac:dyDescent="0.25">
      <c r="A698" s="5">
        <v>45595.210416666669</v>
      </c>
      <c r="B698" s="3" t="s">
        <v>4</v>
      </c>
      <c r="C698" s="3">
        <v>10000347457</v>
      </c>
      <c r="D698" s="3" t="s">
        <v>9</v>
      </c>
      <c r="E698" s="3" t="s">
        <v>93</v>
      </c>
      <c r="F698" s="3" t="s">
        <v>6</v>
      </c>
      <c r="G698" s="3"/>
      <c r="H698" s="6" t="s">
        <v>42</v>
      </c>
      <c r="I698" s="6" t="s">
        <v>13</v>
      </c>
      <c r="J698" s="5">
        <v>45595.219444444447</v>
      </c>
      <c r="K698" s="7">
        <f t="shared" si="10"/>
        <v>9.0277777781011537E-3</v>
      </c>
    </row>
    <row r="699" spans="1:11" x14ac:dyDescent="0.25">
      <c r="A699" s="5">
        <v>45595.260416666664</v>
      </c>
      <c r="B699" s="3" t="s">
        <v>4</v>
      </c>
      <c r="C699" s="3">
        <v>10000011130</v>
      </c>
      <c r="D699" s="3" t="s">
        <v>17</v>
      </c>
      <c r="E699" s="3" t="s">
        <v>15</v>
      </c>
      <c r="F699" s="3" t="s">
        <v>6</v>
      </c>
      <c r="G699" s="3"/>
      <c r="H699" s="6" t="s">
        <v>42</v>
      </c>
      <c r="I699" s="6" t="s">
        <v>13</v>
      </c>
      <c r="J699" s="5">
        <v>45595.260416666664</v>
      </c>
      <c r="K699" s="7">
        <f t="shared" si="10"/>
        <v>0</v>
      </c>
    </row>
    <row r="700" spans="1:11" x14ac:dyDescent="0.25">
      <c r="A700" s="5">
        <v>45595.272916666669</v>
      </c>
      <c r="B700" s="3" t="s">
        <v>4</v>
      </c>
      <c r="C700" s="3">
        <v>10000011130</v>
      </c>
      <c r="D700" s="3" t="s">
        <v>17</v>
      </c>
      <c r="E700" s="3" t="s">
        <v>15</v>
      </c>
      <c r="F700" s="3" t="s">
        <v>6</v>
      </c>
      <c r="G700" s="3"/>
      <c r="H700" s="6" t="s">
        <v>42</v>
      </c>
      <c r="I700" s="6" t="s">
        <v>13</v>
      </c>
      <c r="J700" s="5">
        <v>45595.275000000001</v>
      </c>
      <c r="K700" s="7">
        <f t="shared" si="10"/>
        <v>2.0833333328482695E-3</v>
      </c>
    </row>
    <row r="701" spans="1:11" x14ac:dyDescent="0.25">
      <c r="A701" s="5">
        <v>45595.755555555559</v>
      </c>
      <c r="B701" s="3" t="s">
        <v>4</v>
      </c>
      <c r="C701" s="3">
        <v>10000347457</v>
      </c>
      <c r="D701" s="3" t="s">
        <v>9</v>
      </c>
      <c r="E701" s="3" t="s">
        <v>93</v>
      </c>
      <c r="F701" s="3" t="s">
        <v>6</v>
      </c>
      <c r="G701" s="3"/>
      <c r="H701" s="6" t="s">
        <v>42</v>
      </c>
      <c r="I701" s="6" t="s">
        <v>13</v>
      </c>
      <c r="J701" s="5">
        <v>45595.836805555555</v>
      </c>
      <c r="K701" s="7">
        <f t="shared" si="10"/>
        <v>8.1249999995634425E-2</v>
      </c>
    </row>
    <row r="702" spans="1:11" x14ac:dyDescent="0.25">
      <c r="A702" s="5">
        <v>45596.513888888891</v>
      </c>
      <c r="B702" s="3" t="s">
        <v>4</v>
      </c>
      <c r="C702" s="3">
        <v>7810530001</v>
      </c>
      <c r="D702" s="3" t="s">
        <v>9</v>
      </c>
      <c r="E702" s="3" t="s">
        <v>26</v>
      </c>
      <c r="F702" s="3" t="s">
        <v>6</v>
      </c>
      <c r="G702" s="3"/>
      <c r="H702" s="6" t="s">
        <v>451</v>
      </c>
      <c r="I702" s="6" t="s">
        <v>14</v>
      </c>
      <c r="J702" s="5">
        <v>45596.515277777777</v>
      </c>
      <c r="K702" s="7">
        <f t="shared" si="10"/>
        <v>1.3888888861401938E-3</v>
      </c>
    </row>
    <row r="703" spans="1:11" x14ac:dyDescent="0.25">
      <c r="A703" s="5">
        <v>45596.573611111111</v>
      </c>
      <c r="B703" s="3" t="s">
        <v>4</v>
      </c>
      <c r="C703" s="3">
        <v>7810530001</v>
      </c>
      <c r="D703" s="3" t="s">
        <v>9</v>
      </c>
      <c r="E703" s="3" t="s">
        <v>26</v>
      </c>
      <c r="F703" s="3" t="s">
        <v>6</v>
      </c>
      <c r="G703" s="3"/>
      <c r="H703" s="6" t="s">
        <v>451</v>
      </c>
      <c r="I703" s="6" t="s">
        <v>14</v>
      </c>
      <c r="J703" s="5">
        <v>45596.574305555558</v>
      </c>
      <c r="K703" s="7">
        <f t="shared" si="10"/>
        <v>6.944444467080757E-4</v>
      </c>
    </row>
    <row r="704" spans="1:11" x14ac:dyDescent="0.25">
      <c r="A704" s="5">
        <v>45599.431944444441</v>
      </c>
      <c r="B704" s="3" t="s">
        <v>4</v>
      </c>
      <c r="C704" s="3">
        <v>10000396994</v>
      </c>
      <c r="D704" s="3" t="s">
        <v>9</v>
      </c>
      <c r="E704" s="3" t="s">
        <v>338</v>
      </c>
      <c r="F704" s="3" t="s">
        <v>6</v>
      </c>
      <c r="G704" s="3"/>
      <c r="H704" s="6" t="s">
        <v>567</v>
      </c>
      <c r="I704" s="6" t="s">
        <v>13</v>
      </c>
      <c r="J704" s="5">
        <v>45599.732638888891</v>
      </c>
      <c r="K704" s="7">
        <f t="shared" si="10"/>
        <v>0.30069444444961846</v>
      </c>
    </row>
    <row r="705" spans="1:11" x14ac:dyDescent="0.25">
      <c r="A705" s="5">
        <v>45599.477083333331</v>
      </c>
      <c r="B705" s="3" t="s">
        <v>4</v>
      </c>
      <c r="C705" s="3">
        <v>7831420001</v>
      </c>
      <c r="D705" s="3" t="s">
        <v>9</v>
      </c>
      <c r="E705" s="3" t="s">
        <v>120</v>
      </c>
      <c r="F705" s="3" t="s">
        <v>6</v>
      </c>
      <c r="G705" s="3"/>
      <c r="H705" s="6" t="s">
        <v>567</v>
      </c>
      <c r="I705" s="6" t="s">
        <v>13</v>
      </c>
      <c r="J705" s="5">
        <v>45599.524305555555</v>
      </c>
      <c r="K705" s="7">
        <f t="shared" si="10"/>
        <v>4.7222222223354038E-2</v>
      </c>
    </row>
    <row r="706" spans="1:11" x14ac:dyDescent="0.25">
      <c r="A706" s="5">
        <v>45599.865972222222</v>
      </c>
      <c r="B706" s="3" t="s">
        <v>4</v>
      </c>
      <c r="C706" s="3">
        <v>10000577752</v>
      </c>
      <c r="D706" s="3" t="s">
        <v>9</v>
      </c>
      <c r="E706" s="3" t="s">
        <v>21</v>
      </c>
      <c r="F706" s="3" t="s">
        <v>6</v>
      </c>
      <c r="G706" s="3"/>
      <c r="H706" s="6" t="s">
        <v>42</v>
      </c>
      <c r="I706" s="6" t="s">
        <v>13</v>
      </c>
      <c r="J706" s="5">
        <v>45599.867361111108</v>
      </c>
      <c r="K706" s="7">
        <f t="shared" si="10"/>
        <v>1.3888888861401938E-3</v>
      </c>
    </row>
    <row r="707" spans="1:11" x14ac:dyDescent="0.25">
      <c r="A707" s="5">
        <v>45599.925000000003</v>
      </c>
      <c r="B707" s="3" t="s">
        <v>4</v>
      </c>
      <c r="C707" s="3">
        <v>10000577752</v>
      </c>
      <c r="D707" s="3" t="s">
        <v>9</v>
      </c>
      <c r="E707" s="3" t="s">
        <v>21</v>
      </c>
      <c r="F707" s="3" t="s">
        <v>6</v>
      </c>
      <c r="G707" s="3"/>
      <c r="H707" s="6" t="s">
        <v>42</v>
      </c>
      <c r="I707" s="6" t="s">
        <v>13</v>
      </c>
      <c r="J707" s="5">
        <v>45599.933333333334</v>
      </c>
      <c r="K707" s="7">
        <f t="shared" si="10"/>
        <v>8.333333331393078E-3</v>
      </c>
    </row>
    <row r="708" spans="1:11" x14ac:dyDescent="0.25">
      <c r="A708" s="5">
        <v>45600.438194444447</v>
      </c>
      <c r="B708" s="3" t="s">
        <v>4</v>
      </c>
      <c r="C708" s="3">
        <v>10000577752</v>
      </c>
      <c r="D708" s="3" t="s">
        <v>9</v>
      </c>
      <c r="E708" s="3" t="s">
        <v>21</v>
      </c>
      <c r="F708" s="3" t="s">
        <v>6</v>
      </c>
      <c r="G708" s="3"/>
      <c r="H708" s="6" t="s">
        <v>42</v>
      </c>
      <c r="I708" s="6" t="s">
        <v>13</v>
      </c>
      <c r="J708" s="5">
        <v>45600.499305555553</v>
      </c>
      <c r="K708" s="7">
        <f t="shared" si="10"/>
        <v>6.1111111106583849E-2</v>
      </c>
    </row>
    <row r="709" spans="1:11" x14ac:dyDescent="0.25">
      <c r="A709" s="5">
        <v>45601.441666666666</v>
      </c>
      <c r="B709" s="3" t="s">
        <v>4</v>
      </c>
      <c r="C709" s="3">
        <v>10000577752</v>
      </c>
      <c r="D709" s="3" t="s">
        <v>9</v>
      </c>
      <c r="E709" s="3" t="s">
        <v>21</v>
      </c>
      <c r="F709" s="3" t="s">
        <v>6</v>
      </c>
      <c r="G709" s="3"/>
      <c r="H709" s="6" t="s">
        <v>42</v>
      </c>
      <c r="I709" s="6" t="s">
        <v>13</v>
      </c>
      <c r="J709" s="5">
        <v>45601.544444444444</v>
      </c>
      <c r="K709" s="7">
        <f t="shared" si="10"/>
        <v>0.10277777777810115</v>
      </c>
    </row>
    <row r="710" spans="1:11" x14ac:dyDescent="0.25">
      <c r="A710" s="5">
        <v>45601.460416666669</v>
      </c>
      <c r="B710" s="3" t="s">
        <v>568</v>
      </c>
      <c r="C710" s="3">
        <v>10000457638</v>
      </c>
      <c r="D710" s="3" t="s">
        <v>104</v>
      </c>
      <c r="E710" s="3" t="s">
        <v>107</v>
      </c>
      <c r="F710" s="3" t="s">
        <v>6</v>
      </c>
      <c r="G710" s="3"/>
      <c r="H710" s="6" t="s">
        <v>569</v>
      </c>
      <c r="I710" s="6" t="s">
        <v>14</v>
      </c>
      <c r="J710" s="5">
        <v>45601.552777777775</v>
      </c>
      <c r="K710" s="7">
        <f t="shared" si="10"/>
        <v>9.2361111106583849E-2</v>
      </c>
    </row>
    <row r="711" spans="1:11" x14ac:dyDescent="0.25">
      <c r="A711" s="5">
        <v>45601.519444444442</v>
      </c>
      <c r="B711" s="3" t="s">
        <v>4</v>
      </c>
      <c r="C711" s="3">
        <v>6963530001</v>
      </c>
      <c r="D711" s="3" t="s">
        <v>9</v>
      </c>
      <c r="E711" s="3" t="s">
        <v>67</v>
      </c>
      <c r="F711" s="3" t="s">
        <v>6</v>
      </c>
      <c r="G711" s="3"/>
      <c r="H711" s="6" t="s">
        <v>42</v>
      </c>
      <c r="I711" s="6" t="s">
        <v>13</v>
      </c>
      <c r="J711" s="5">
        <v>45601.609027777777</v>
      </c>
      <c r="K711" s="7">
        <f t="shared" si="10"/>
        <v>8.9583333334303461E-2</v>
      </c>
    </row>
    <row r="712" spans="1:11" x14ac:dyDescent="0.25">
      <c r="A712" s="5">
        <v>45602.002083333333</v>
      </c>
      <c r="B712" s="3" t="s">
        <v>4</v>
      </c>
      <c r="C712" s="3">
        <v>10000574442</v>
      </c>
      <c r="D712" s="3" t="s">
        <v>134</v>
      </c>
      <c r="E712" s="3" t="s">
        <v>450</v>
      </c>
      <c r="F712" s="3" t="s">
        <v>570</v>
      </c>
      <c r="G712" s="3"/>
      <c r="H712" s="6" t="s">
        <v>572</v>
      </c>
      <c r="I712" s="6" t="s">
        <v>14</v>
      </c>
      <c r="J712" s="5">
        <v>45602.00277777778</v>
      </c>
      <c r="K712" s="7">
        <f t="shared" si="10"/>
        <v>6.944444467080757E-4</v>
      </c>
    </row>
    <row r="713" spans="1:11" x14ac:dyDescent="0.25">
      <c r="A713" s="5">
        <v>45602.588888888888</v>
      </c>
      <c r="B713" s="3" t="s">
        <v>4</v>
      </c>
      <c r="C713" s="3">
        <v>10000365255</v>
      </c>
      <c r="D713" s="3" t="s">
        <v>9</v>
      </c>
      <c r="E713" s="3" t="s">
        <v>394</v>
      </c>
      <c r="F713" s="3" t="s">
        <v>6</v>
      </c>
      <c r="G713" s="3"/>
      <c r="H713" s="6" t="s">
        <v>42</v>
      </c>
      <c r="I713" s="6" t="s">
        <v>13</v>
      </c>
      <c r="J713" s="5">
        <v>45602.590277777781</v>
      </c>
      <c r="K713" s="7">
        <f t="shared" si="10"/>
        <v>1.3888888934161514E-3</v>
      </c>
    </row>
    <row r="714" spans="1:11" x14ac:dyDescent="0.25">
      <c r="A714" s="5">
        <v>45603.039583333331</v>
      </c>
      <c r="B714" s="3" t="s">
        <v>571</v>
      </c>
      <c r="C714" s="3">
        <v>10000024475</v>
      </c>
      <c r="D714" s="3" t="s">
        <v>10</v>
      </c>
      <c r="E714" s="3" t="s">
        <v>23</v>
      </c>
      <c r="F714" s="3" t="s">
        <v>6</v>
      </c>
      <c r="G714" s="3"/>
      <c r="H714" s="6" t="s">
        <v>577</v>
      </c>
      <c r="I714" s="6" t="s">
        <v>14</v>
      </c>
      <c r="J714" s="5">
        <v>45604.496527777781</v>
      </c>
      <c r="K714" s="7">
        <f t="shared" si="10"/>
        <v>1.4569444444496185</v>
      </c>
    </row>
    <row r="715" spans="1:11" x14ac:dyDescent="0.25">
      <c r="A715" s="5">
        <v>45603.92291666667</v>
      </c>
      <c r="B715" s="3" t="s">
        <v>573</v>
      </c>
      <c r="C715" s="3">
        <v>10000000824</v>
      </c>
      <c r="D715" s="3" t="s">
        <v>9</v>
      </c>
      <c r="E715" s="3" t="s">
        <v>149</v>
      </c>
      <c r="F715" s="3" t="s">
        <v>6</v>
      </c>
      <c r="G715" s="3"/>
      <c r="H715" s="6" t="s">
        <v>574</v>
      </c>
      <c r="I715" s="6" t="s">
        <v>14</v>
      </c>
      <c r="J715" s="5">
        <v>45603.9375</v>
      </c>
      <c r="K715" s="7">
        <f t="shared" si="10"/>
        <v>1.4583333329937886E-2</v>
      </c>
    </row>
    <row r="716" spans="1:11" x14ac:dyDescent="0.25">
      <c r="A716" s="5">
        <v>45604.563888888886</v>
      </c>
      <c r="B716" s="3" t="s">
        <v>4</v>
      </c>
      <c r="C716" s="3">
        <v>10000577752</v>
      </c>
      <c r="D716" s="3" t="s">
        <v>9</v>
      </c>
      <c r="E716" s="3" t="s">
        <v>21</v>
      </c>
      <c r="F716" s="3" t="s">
        <v>6</v>
      </c>
      <c r="G716" s="3"/>
      <c r="H716" s="6" t="s">
        <v>42</v>
      </c>
      <c r="I716" s="6" t="s">
        <v>13</v>
      </c>
      <c r="J716" s="5">
        <v>45604.563888888886</v>
      </c>
      <c r="K716" s="7">
        <f t="shared" si="10"/>
        <v>0</v>
      </c>
    </row>
    <row r="717" spans="1:11" x14ac:dyDescent="0.25">
      <c r="A717" s="5">
        <v>45604.788194444445</v>
      </c>
      <c r="B717" s="3" t="s">
        <v>670</v>
      </c>
      <c r="C717" s="3">
        <v>10000000824</v>
      </c>
      <c r="D717" s="3" t="s">
        <v>9</v>
      </c>
      <c r="E717" s="3" t="s">
        <v>149</v>
      </c>
      <c r="F717" s="3" t="s">
        <v>148</v>
      </c>
      <c r="G717" s="3"/>
      <c r="H717" s="6" t="s">
        <v>671</v>
      </c>
      <c r="I717" s="6" t="s">
        <v>13</v>
      </c>
      <c r="J717" s="5">
        <v>45604.952777777777</v>
      </c>
      <c r="K717" s="7">
        <f t="shared" si="10"/>
        <v>0.16458333333139308</v>
      </c>
    </row>
    <row r="718" spans="1:11" x14ac:dyDescent="0.25">
      <c r="A718" s="5">
        <v>45605.270138888889</v>
      </c>
      <c r="B718" s="3" t="s">
        <v>4</v>
      </c>
      <c r="C718" s="3">
        <v>10000000824</v>
      </c>
      <c r="D718" s="3" t="s">
        <v>9</v>
      </c>
      <c r="E718" s="3" t="s">
        <v>149</v>
      </c>
      <c r="F718" s="3" t="s">
        <v>148</v>
      </c>
      <c r="G718" s="3"/>
      <c r="H718" s="6" t="s">
        <v>42</v>
      </c>
      <c r="I718" s="6" t="s">
        <v>13</v>
      </c>
      <c r="J718" s="5">
        <v>45605.357638888891</v>
      </c>
      <c r="K718" s="7">
        <f t="shared" si="10"/>
        <v>8.7500000001455192E-2</v>
      </c>
    </row>
    <row r="719" spans="1:11" x14ac:dyDescent="0.25">
      <c r="A719" s="5">
        <v>45605.313194444447</v>
      </c>
      <c r="B719" s="3" t="s">
        <v>4</v>
      </c>
      <c r="C719" s="3">
        <v>10000004781</v>
      </c>
      <c r="D719" s="3" t="s">
        <v>45</v>
      </c>
      <c r="E719" s="3" t="s">
        <v>44</v>
      </c>
      <c r="F719" s="3" t="s">
        <v>6</v>
      </c>
      <c r="G719" s="3"/>
      <c r="H719" s="6" t="s">
        <v>42</v>
      </c>
      <c r="I719" s="6" t="s">
        <v>13</v>
      </c>
      <c r="J719" s="5">
        <v>45605.345138888886</v>
      </c>
      <c r="K719" s="7">
        <f t="shared" si="10"/>
        <v>3.1944444439432118E-2</v>
      </c>
    </row>
    <row r="720" spans="1:11" x14ac:dyDescent="0.25">
      <c r="A720" s="5">
        <v>45605.520833333336</v>
      </c>
      <c r="B720" s="3" t="s">
        <v>4</v>
      </c>
      <c r="C720" s="3">
        <v>6999070001</v>
      </c>
      <c r="D720" s="3" t="s">
        <v>10</v>
      </c>
      <c r="E720" s="3" t="s">
        <v>86</v>
      </c>
      <c r="F720" s="3" t="s">
        <v>6</v>
      </c>
      <c r="G720" s="3"/>
      <c r="H720" s="6" t="s">
        <v>575</v>
      </c>
      <c r="I720" s="6" t="s">
        <v>14</v>
      </c>
      <c r="J720" s="5">
        <v>45606.553472222222</v>
      </c>
      <c r="K720" s="7">
        <f t="shared" si="10"/>
        <v>1.0326388888861402</v>
      </c>
    </row>
    <row r="721" spans="1:11" ht="30" x14ac:dyDescent="0.25">
      <c r="A721" s="5">
        <v>45605.634027777778</v>
      </c>
      <c r="B721" s="3" t="s">
        <v>4</v>
      </c>
      <c r="C721" s="3">
        <v>10000347457</v>
      </c>
      <c r="D721" s="3" t="s">
        <v>9</v>
      </c>
      <c r="E721" s="3" t="s">
        <v>93</v>
      </c>
      <c r="F721" s="3" t="s">
        <v>6</v>
      </c>
      <c r="G721" s="3"/>
      <c r="H721" s="6" t="s">
        <v>576</v>
      </c>
      <c r="I721" s="6" t="s">
        <v>14</v>
      </c>
      <c r="J721" s="5">
        <v>45605.791666666664</v>
      </c>
      <c r="K721" s="7">
        <f t="shared" si="10"/>
        <v>0.15763888888614019</v>
      </c>
    </row>
    <row r="722" spans="1:11" x14ac:dyDescent="0.25">
      <c r="A722" s="5">
        <v>45605.63958333333</v>
      </c>
      <c r="B722" s="3" t="s">
        <v>4</v>
      </c>
      <c r="C722" s="3">
        <v>10000004781</v>
      </c>
      <c r="D722" s="3" t="s">
        <v>45</v>
      </c>
      <c r="E722" s="3" t="s">
        <v>44</v>
      </c>
      <c r="F722" s="3" t="s">
        <v>6</v>
      </c>
      <c r="G722" s="3"/>
      <c r="H722" s="6" t="s">
        <v>42</v>
      </c>
      <c r="I722" s="6" t="s">
        <v>13</v>
      </c>
      <c r="J722" s="5">
        <v>45605.681250000001</v>
      </c>
      <c r="K722" s="7">
        <f t="shared" si="10"/>
        <v>4.1666666671517305E-2</v>
      </c>
    </row>
    <row r="723" spans="1:11" x14ac:dyDescent="0.25">
      <c r="A723" s="5">
        <v>45606.465277777781</v>
      </c>
      <c r="B723" s="3" t="s">
        <v>4</v>
      </c>
      <c r="C723" s="3">
        <v>10000000822</v>
      </c>
      <c r="D723" s="3" t="s">
        <v>9</v>
      </c>
      <c r="E723" s="3" t="s">
        <v>179</v>
      </c>
      <c r="F723" s="3" t="s">
        <v>6</v>
      </c>
      <c r="G723" s="3"/>
      <c r="H723" s="6" t="s">
        <v>42</v>
      </c>
      <c r="I723" s="6" t="s">
        <v>13</v>
      </c>
      <c r="J723" s="5">
        <v>45606.491666666669</v>
      </c>
      <c r="K723" s="7">
        <f t="shared" si="10"/>
        <v>2.6388888887595385E-2</v>
      </c>
    </row>
    <row r="724" spans="1:11" x14ac:dyDescent="0.25">
      <c r="A724" s="5">
        <v>45607.422222222223</v>
      </c>
      <c r="B724" s="3" t="s">
        <v>579</v>
      </c>
      <c r="C724" s="3">
        <v>10000000427</v>
      </c>
      <c r="D724" s="3" t="s">
        <v>9</v>
      </c>
      <c r="E724" s="3" t="s">
        <v>419</v>
      </c>
      <c r="F724" s="3" t="s">
        <v>6</v>
      </c>
      <c r="G724" s="3"/>
      <c r="H724" s="6" t="s">
        <v>580</v>
      </c>
      <c r="I724" s="6" t="s">
        <v>13</v>
      </c>
      <c r="J724" s="5">
        <v>45607.541666666664</v>
      </c>
      <c r="K724" s="7">
        <f t="shared" si="10"/>
        <v>0.11944444444088731</v>
      </c>
    </row>
    <row r="725" spans="1:11" x14ac:dyDescent="0.25">
      <c r="A725" s="5">
        <v>45607.70208333333</v>
      </c>
      <c r="B725" s="3" t="s">
        <v>4</v>
      </c>
      <c r="C725" s="3">
        <v>10000577752</v>
      </c>
      <c r="D725" s="3" t="s">
        <v>9</v>
      </c>
      <c r="E725" s="3" t="s">
        <v>21</v>
      </c>
      <c r="F725" s="3" t="s">
        <v>6</v>
      </c>
      <c r="G725" s="3"/>
      <c r="H725" s="6" t="s">
        <v>42</v>
      </c>
      <c r="I725" s="6" t="s">
        <v>13</v>
      </c>
      <c r="J725" s="5">
        <v>45607.707638888889</v>
      </c>
      <c r="K725" s="7">
        <f t="shared" si="10"/>
        <v>5.5555555591126904E-3</v>
      </c>
    </row>
    <row r="726" spans="1:11" x14ac:dyDescent="0.25">
      <c r="A726" s="5">
        <v>45607.75</v>
      </c>
      <c r="B726" s="3" t="s">
        <v>581</v>
      </c>
      <c r="C726" s="3">
        <v>10000000822</v>
      </c>
      <c r="D726" s="3" t="s">
        <v>9</v>
      </c>
      <c r="E726" s="3" t="s">
        <v>179</v>
      </c>
      <c r="F726" s="3" t="s">
        <v>6</v>
      </c>
      <c r="G726" s="3"/>
      <c r="H726" s="6" t="s">
        <v>42</v>
      </c>
      <c r="I726" s="6" t="s">
        <v>13</v>
      </c>
      <c r="J726" s="5">
        <v>45607.800694444442</v>
      </c>
      <c r="K726" s="7">
        <f t="shared" si="10"/>
        <v>5.0694444442342501E-2</v>
      </c>
    </row>
    <row r="727" spans="1:11" ht="30" x14ac:dyDescent="0.25">
      <c r="A727" s="5">
        <v>45607.943055555559</v>
      </c>
      <c r="B727" s="3" t="s">
        <v>4</v>
      </c>
      <c r="C727" s="3">
        <v>699889001</v>
      </c>
      <c r="D727" s="3" t="s">
        <v>9</v>
      </c>
      <c r="E727" s="3" t="s">
        <v>318</v>
      </c>
      <c r="F727" s="3" t="s">
        <v>6</v>
      </c>
      <c r="G727" s="3"/>
      <c r="H727" s="6" t="s">
        <v>582</v>
      </c>
      <c r="I727" s="6" t="s">
        <v>14</v>
      </c>
      <c r="J727" s="5">
        <v>45608.334027777775</v>
      </c>
      <c r="K727" s="7">
        <f t="shared" si="10"/>
        <v>0.39097222221607808</v>
      </c>
    </row>
    <row r="728" spans="1:11" ht="30" x14ac:dyDescent="0.25">
      <c r="A728" s="5">
        <v>45609.186111111114</v>
      </c>
      <c r="B728" s="3" t="s">
        <v>4</v>
      </c>
      <c r="C728" s="3">
        <v>699889001</v>
      </c>
      <c r="D728" s="3" t="s">
        <v>9</v>
      </c>
      <c r="E728" s="3" t="s">
        <v>318</v>
      </c>
      <c r="F728" s="3" t="s">
        <v>6</v>
      </c>
      <c r="G728" s="3"/>
      <c r="H728" s="6" t="s">
        <v>582</v>
      </c>
      <c r="I728" s="6" t="s">
        <v>14</v>
      </c>
      <c r="J728" s="5">
        <v>45609.330555555556</v>
      </c>
      <c r="K728" s="7">
        <f t="shared" si="10"/>
        <v>0.1444444444423425</v>
      </c>
    </row>
    <row r="729" spans="1:11" x14ac:dyDescent="0.25">
      <c r="A729" s="5">
        <v>45609.402083333334</v>
      </c>
      <c r="B729" s="3" t="s">
        <v>672</v>
      </c>
      <c r="C729" s="3">
        <v>7823550001</v>
      </c>
      <c r="D729" s="3" t="s">
        <v>10</v>
      </c>
      <c r="E729" s="3" t="s">
        <v>102</v>
      </c>
      <c r="F729" s="3" t="s">
        <v>382</v>
      </c>
      <c r="G729" s="3"/>
      <c r="H729" s="6" t="s">
        <v>673</v>
      </c>
      <c r="I729" s="6" t="s">
        <v>13</v>
      </c>
      <c r="J729" s="5">
        <v>45609.511805555558</v>
      </c>
      <c r="K729" s="7">
        <f t="shared" si="10"/>
        <v>0.10972222222335404</v>
      </c>
    </row>
    <row r="730" spans="1:11" x14ac:dyDescent="0.25">
      <c r="A730" s="5">
        <v>45610.679166666669</v>
      </c>
      <c r="B730" s="3" t="s">
        <v>4</v>
      </c>
      <c r="C730" s="3">
        <v>10000365255</v>
      </c>
      <c r="D730" s="3" t="s">
        <v>9</v>
      </c>
      <c r="E730" s="3" t="s">
        <v>394</v>
      </c>
      <c r="F730" s="3" t="s">
        <v>6</v>
      </c>
      <c r="G730" s="3"/>
      <c r="H730" s="6" t="s">
        <v>42</v>
      </c>
      <c r="I730" s="6" t="s">
        <v>13</v>
      </c>
      <c r="J730" s="5">
        <v>45610.761805555558</v>
      </c>
      <c r="K730" s="7">
        <f t="shared" si="10"/>
        <v>8.2638888889050577E-2</v>
      </c>
    </row>
    <row r="731" spans="1:11" x14ac:dyDescent="0.25">
      <c r="A731" s="5">
        <v>45610.84375</v>
      </c>
      <c r="B731" s="3" t="s">
        <v>626</v>
      </c>
      <c r="C731" s="3">
        <v>7810530001</v>
      </c>
      <c r="D731" s="3" t="s">
        <v>9</v>
      </c>
      <c r="E731" s="3" t="s">
        <v>26</v>
      </c>
      <c r="F731" s="3" t="s">
        <v>6</v>
      </c>
      <c r="G731" s="3"/>
      <c r="H731" s="6" t="s">
        <v>667</v>
      </c>
      <c r="I731" s="6" t="s">
        <v>14</v>
      </c>
      <c r="J731" s="5">
        <v>45624.824999999997</v>
      </c>
      <c r="K731" s="7">
        <f t="shared" si="10"/>
        <v>13.98124999999709</v>
      </c>
    </row>
    <row r="732" spans="1:11" x14ac:dyDescent="0.25">
      <c r="A732" s="5">
        <v>45611.45208333333</v>
      </c>
      <c r="B732" s="3" t="s">
        <v>4</v>
      </c>
      <c r="C732" s="3">
        <v>10000304628</v>
      </c>
      <c r="D732" s="3" t="s">
        <v>10</v>
      </c>
      <c r="E732" s="3" t="s">
        <v>628</v>
      </c>
      <c r="F732" s="3" t="s">
        <v>629</v>
      </c>
      <c r="G732" s="3"/>
      <c r="H732" s="6" t="s">
        <v>630</v>
      </c>
      <c r="I732" s="6" t="s">
        <v>14</v>
      </c>
      <c r="J732" s="5">
        <v>45611.452777777777</v>
      </c>
      <c r="K732" s="7">
        <f t="shared" si="10"/>
        <v>6.944444467080757E-4</v>
      </c>
    </row>
    <row r="733" spans="1:11" x14ac:dyDescent="0.25">
      <c r="A733" s="5">
        <v>45611.456944444442</v>
      </c>
      <c r="B733" s="3" t="s">
        <v>4</v>
      </c>
      <c r="C733" s="3">
        <v>10000560696</v>
      </c>
      <c r="D733" s="3" t="s">
        <v>9</v>
      </c>
      <c r="E733" s="3" t="s">
        <v>19</v>
      </c>
      <c r="F733" s="3" t="s">
        <v>51</v>
      </c>
      <c r="G733" s="3"/>
      <c r="H733" s="6" t="s">
        <v>627</v>
      </c>
      <c r="I733" s="6" t="s">
        <v>13</v>
      </c>
      <c r="J733" s="5">
        <v>45611.461111111108</v>
      </c>
      <c r="K733" s="7">
        <f t="shared" si="10"/>
        <v>4.166666665696539E-3</v>
      </c>
    </row>
    <row r="734" spans="1:11" x14ac:dyDescent="0.25">
      <c r="A734" s="5">
        <v>45611.723611111112</v>
      </c>
      <c r="B734" s="3" t="s">
        <v>4</v>
      </c>
      <c r="C734" s="3">
        <v>10000560696</v>
      </c>
      <c r="D734" s="3" t="s">
        <v>9</v>
      </c>
      <c r="E734" s="3" t="s">
        <v>19</v>
      </c>
      <c r="F734" s="3" t="s">
        <v>51</v>
      </c>
      <c r="G734" s="3"/>
      <c r="H734" s="6" t="s">
        <v>627</v>
      </c>
      <c r="I734" s="6" t="s">
        <v>13</v>
      </c>
      <c r="J734" s="5">
        <v>45611.728472222225</v>
      </c>
      <c r="K734" s="7">
        <f t="shared" si="10"/>
        <v>4.8611111124046147E-3</v>
      </c>
    </row>
    <row r="735" spans="1:11" x14ac:dyDescent="0.25">
      <c r="A735" s="5">
        <v>45612.036111111112</v>
      </c>
      <c r="B735" s="3" t="s">
        <v>4</v>
      </c>
      <c r="C735" s="3">
        <v>7808270001</v>
      </c>
      <c r="D735" s="3" t="s">
        <v>9</v>
      </c>
      <c r="E735" s="3" t="s">
        <v>37</v>
      </c>
      <c r="F735" s="3" t="s">
        <v>6</v>
      </c>
      <c r="G735" s="3"/>
      <c r="H735" s="6" t="s">
        <v>42</v>
      </c>
      <c r="I735" s="6" t="s">
        <v>13</v>
      </c>
      <c r="J735" s="5">
        <v>45612.424305555556</v>
      </c>
      <c r="K735" s="7">
        <f t="shared" si="10"/>
        <v>0.38819444444379769</v>
      </c>
    </row>
    <row r="736" spans="1:11" x14ac:dyDescent="0.25">
      <c r="A736" s="5">
        <v>45612.334722222222</v>
      </c>
      <c r="B736" s="3" t="s">
        <v>4</v>
      </c>
      <c r="C736" s="3">
        <v>10000560696</v>
      </c>
      <c r="D736" s="3" t="s">
        <v>9</v>
      </c>
      <c r="E736" s="3" t="s">
        <v>19</v>
      </c>
      <c r="F736" s="3" t="s">
        <v>51</v>
      </c>
      <c r="G736" s="3"/>
      <c r="H736" s="6" t="s">
        <v>627</v>
      </c>
      <c r="I736" s="6" t="s">
        <v>13</v>
      </c>
      <c r="J736" s="5">
        <v>45612.34097222222</v>
      </c>
      <c r="K736" s="7">
        <f t="shared" si="10"/>
        <v>6.2499999985448085E-3</v>
      </c>
    </row>
    <row r="737" spans="1:11" x14ac:dyDescent="0.25">
      <c r="A737" s="5">
        <v>45612.390277777777</v>
      </c>
      <c r="B737" s="3" t="s">
        <v>4</v>
      </c>
      <c r="C737" s="3">
        <v>10000100046</v>
      </c>
      <c r="D737" s="3" t="s">
        <v>10</v>
      </c>
      <c r="E737" s="3" t="s">
        <v>628</v>
      </c>
      <c r="F737" s="3" t="s">
        <v>6</v>
      </c>
      <c r="G737" s="3"/>
      <c r="H737" s="6" t="s">
        <v>631</v>
      </c>
      <c r="I737" s="6" t="s">
        <v>14</v>
      </c>
      <c r="J737" s="5">
        <v>45612.390277777777</v>
      </c>
      <c r="K737" s="7">
        <f t="shared" si="10"/>
        <v>0</v>
      </c>
    </row>
    <row r="738" spans="1:11" x14ac:dyDescent="0.25">
      <c r="A738" s="5">
        <v>45612.863194444442</v>
      </c>
      <c r="B738" s="3" t="s">
        <v>4</v>
      </c>
      <c r="C738" s="3">
        <v>10000560696</v>
      </c>
      <c r="D738" s="3" t="s">
        <v>9</v>
      </c>
      <c r="E738" s="3" t="s">
        <v>19</v>
      </c>
      <c r="F738" s="3" t="s">
        <v>51</v>
      </c>
      <c r="G738" s="3"/>
      <c r="H738" s="6" t="s">
        <v>627</v>
      </c>
      <c r="I738" s="6" t="s">
        <v>13</v>
      </c>
      <c r="J738" s="5">
        <v>45612.867361111108</v>
      </c>
      <c r="K738" s="7">
        <f t="shared" si="10"/>
        <v>4.166666665696539E-3</v>
      </c>
    </row>
    <row r="739" spans="1:11" x14ac:dyDescent="0.25">
      <c r="A739" s="5">
        <v>45613.392361111109</v>
      </c>
      <c r="B739" s="3" t="s">
        <v>632</v>
      </c>
      <c r="C739" s="3">
        <v>10000000822</v>
      </c>
      <c r="D739" s="3" t="s">
        <v>9</v>
      </c>
      <c r="E739" s="3" t="s">
        <v>179</v>
      </c>
      <c r="F739" s="3" t="s">
        <v>6</v>
      </c>
      <c r="G739" s="3"/>
      <c r="H739" s="6" t="s">
        <v>42</v>
      </c>
      <c r="I739" s="6" t="s">
        <v>13</v>
      </c>
      <c r="J739" s="5">
        <v>45613.772916666669</v>
      </c>
      <c r="K739" s="7">
        <f t="shared" si="10"/>
        <v>0.38055555555911269</v>
      </c>
    </row>
    <row r="740" spans="1:11" x14ac:dyDescent="0.25">
      <c r="A740" s="5">
        <v>45613.769444444442</v>
      </c>
      <c r="B740" s="3" t="s">
        <v>633</v>
      </c>
      <c r="C740" s="3">
        <v>10000006824</v>
      </c>
      <c r="D740" s="3" t="s">
        <v>104</v>
      </c>
      <c r="E740" s="3" t="s">
        <v>185</v>
      </c>
      <c r="F740" s="3" t="s">
        <v>6</v>
      </c>
      <c r="G740" s="3"/>
      <c r="H740" s="6" t="s">
        <v>42</v>
      </c>
      <c r="I740" s="6" t="s">
        <v>13</v>
      </c>
      <c r="J740" s="5">
        <v>45613.793055555558</v>
      </c>
      <c r="K740" s="7">
        <f t="shared" si="10"/>
        <v>2.3611111115314998E-2</v>
      </c>
    </row>
    <row r="741" spans="1:11" ht="30" x14ac:dyDescent="0.25">
      <c r="A741" s="5">
        <v>45613.835416666669</v>
      </c>
      <c r="B741" s="3" t="s">
        <v>4</v>
      </c>
      <c r="C741" s="3">
        <v>6998890001</v>
      </c>
      <c r="D741" s="3" t="s">
        <v>9</v>
      </c>
      <c r="E741" s="3" t="s">
        <v>318</v>
      </c>
      <c r="F741" s="3" t="s">
        <v>6</v>
      </c>
      <c r="G741" s="3"/>
      <c r="H741" s="6" t="s">
        <v>582</v>
      </c>
      <c r="I741" s="6" t="s">
        <v>14</v>
      </c>
      <c r="J741" s="5">
        <v>45614.354861111111</v>
      </c>
      <c r="K741" s="7">
        <f t="shared" si="10"/>
        <v>0.5194444444423425</v>
      </c>
    </row>
    <row r="742" spans="1:11" x14ac:dyDescent="0.25">
      <c r="A742" s="5">
        <v>45614.481944444444</v>
      </c>
      <c r="B742" s="3" t="s">
        <v>634</v>
      </c>
      <c r="C742" s="3">
        <v>10000450331</v>
      </c>
      <c r="D742" s="3" t="s">
        <v>9</v>
      </c>
      <c r="E742" s="3" t="s">
        <v>635</v>
      </c>
      <c r="F742" s="3" t="s">
        <v>6</v>
      </c>
      <c r="G742" s="3"/>
      <c r="H742" s="6" t="s">
        <v>636</v>
      </c>
      <c r="I742" s="6" t="s">
        <v>14</v>
      </c>
      <c r="J742" s="5">
        <v>45614.663194444445</v>
      </c>
      <c r="K742" s="7">
        <f t="shared" si="10"/>
        <v>0.18125000000145519</v>
      </c>
    </row>
    <row r="743" spans="1:11" x14ac:dyDescent="0.25">
      <c r="A743" s="5">
        <v>45614.495833333334</v>
      </c>
      <c r="B743" s="3" t="s">
        <v>637</v>
      </c>
      <c r="C743" s="3">
        <v>10000000427</v>
      </c>
      <c r="D743" s="3" t="s">
        <v>9</v>
      </c>
      <c r="E743" s="3" t="s">
        <v>419</v>
      </c>
      <c r="F743" s="3" t="s">
        <v>6</v>
      </c>
      <c r="G743" s="3"/>
      <c r="H743" s="6" t="s">
        <v>645</v>
      </c>
      <c r="I743" s="6" t="s">
        <v>13</v>
      </c>
      <c r="J743" s="5">
        <v>45614.525000000001</v>
      </c>
      <c r="K743" s="7">
        <f t="shared" si="10"/>
        <v>2.9166666667151731E-2</v>
      </c>
    </row>
    <row r="744" spans="1:11" x14ac:dyDescent="0.25">
      <c r="A744" s="5">
        <v>45614.694444444445</v>
      </c>
      <c r="B744" s="3" t="s">
        <v>638</v>
      </c>
      <c r="C744" s="3">
        <v>6999070001</v>
      </c>
      <c r="D744" s="3" t="s">
        <v>10</v>
      </c>
      <c r="E744" s="3" t="s">
        <v>86</v>
      </c>
      <c r="F744" s="3" t="s">
        <v>6</v>
      </c>
      <c r="G744" s="3"/>
      <c r="H744" s="6" t="s">
        <v>639</v>
      </c>
      <c r="I744" s="6" t="s">
        <v>14</v>
      </c>
      <c r="J744" s="5">
        <v>45614.747916666667</v>
      </c>
      <c r="K744" s="7">
        <f t="shared" si="10"/>
        <v>5.3472222221898846E-2</v>
      </c>
    </row>
    <row r="745" spans="1:11" x14ac:dyDescent="0.25">
      <c r="A745" s="5">
        <v>45615.03125</v>
      </c>
      <c r="B745" s="3" t="s">
        <v>642</v>
      </c>
      <c r="C745" s="3">
        <v>10000058625</v>
      </c>
      <c r="D745" s="3" t="s">
        <v>9</v>
      </c>
      <c r="E745" s="3" t="s">
        <v>41</v>
      </c>
      <c r="F745" s="3" t="s">
        <v>90</v>
      </c>
      <c r="G745" s="3"/>
      <c r="H745" s="6" t="s">
        <v>641</v>
      </c>
      <c r="I745" s="6" t="s">
        <v>14</v>
      </c>
      <c r="J745" s="5">
        <v>45615.098611111112</v>
      </c>
      <c r="K745" s="7">
        <f t="shared" si="10"/>
        <v>6.7361111112404615E-2</v>
      </c>
    </row>
    <row r="746" spans="1:11" x14ac:dyDescent="0.25">
      <c r="A746" s="5">
        <v>45615.03125</v>
      </c>
      <c r="B746" s="3" t="s">
        <v>640</v>
      </c>
      <c r="C746" s="3">
        <v>10000058627</v>
      </c>
      <c r="D746" s="3" t="s">
        <v>9</v>
      </c>
      <c r="E746" s="3" t="s">
        <v>160</v>
      </c>
      <c r="F746" s="3" t="s">
        <v>90</v>
      </c>
      <c r="G746" s="3"/>
      <c r="H746" s="6" t="s">
        <v>641</v>
      </c>
      <c r="I746" s="6" t="s">
        <v>14</v>
      </c>
      <c r="J746" s="5">
        <v>45615.098611111112</v>
      </c>
      <c r="K746" s="7">
        <f t="shared" si="10"/>
        <v>6.7361111112404615E-2</v>
      </c>
    </row>
    <row r="747" spans="1:11" x14ac:dyDescent="0.25">
      <c r="A747" s="5">
        <v>45615.03125</v>
      </c>
      <c r="B747" s="3" t="s">
        <v>644</v>
      </c>
      <c r="C747" s="3">
        <v>10000058781</v>
      </c>
      <c r="D747" s="3" t="s">
        <v>9</v>
      </c>
      <c r="E747" s="3" t="s">
        <v>247</v>
      </c>
      <c r="F747" s="3" t="s">
        <v>90</v>
      </c>
      <c r="G747" s="3"/>
      <c r="H747" s="6" t="s">
        <v>641</v>
      </c>
      <c r="I747" s="6" t="s">
        <v>14</v>
      </c>
      <c r="J747" s="5">
        <v>45615.098611111112</v>
      </c>
      <c r="K747" s="7">
        <f t="shared" si="10"/>
        <v>6.7361111112404615E-2</v>
      </c>
    </row>
    <row r="748" spans="1:11" x14ac:dyDescent="0.25">
      <c r="A748" s="5">
        <v>45615.03125</v>
      </c>
      <c r="B748" s="3" t="s">
        <v>643</v>
      </c>
      <c r="C748" s="3">
        <v>7853300001</v>
      </c>
      <c r="D748" s="3" t="s">
        <v>9</v>
      </c>
      <c r="E748" s="3" t="s">
        <v>19</v>
      </c>
      <c r="F748" s="3" t="s">
        <v>90</v>
      </c>
      <c r="G748" s="3"/>
      <c r="H748" s="6" t="s">
        <v>641</v>
      </c>
      <c r="I748" s="6" t="s">
        <v>14</v>
      </c>
      <c r="J748" s="5">
        <v>45615.098611111112</v>
      </c>
      <c r="K748" s="7">
        <f t="shared" si="10"/>
        <v>6.7361111112404615E-2</v>
      </c>
    </row>
    <row r="749" spans="1:11" ht="30" x14ac:dyDescent="0.25">
      <c r="A749" s="5">
        <v>45615.082638888889</v>
      </c>
      <c r="B749" s="3" t="s">
        <v>4</v>
      </c>
      <c r="C749" s="3">
        <v>6998890001</v>
      </c>
      <c r="D749" s="3" t="s">
        <v>9</v>
      </c>
      <c r="E749" s="3" t="s">
        <v>318</v>
      </c>
      <c r="F749" s="3" t="s">
        <v>6</v>
      </c>
      <c r="G749" s="3"/>
      <c r="H749" s="6" t="s">
        <v>582</v>
      </c>
      <c r="I749" s="6" t="s">
        <v>14</v>
      </c>
      <c r="J749" s="5">
        <v>45615.331250000003</v>
      </c>
      <c r="K749" s="7">
        <f t="shared" ref="K749:K780" si="11">J749-A749</f>
        <v>0.24861111111385981</v>
      </c>
    </row>
    <row r="750" spans="1:11" x14ac:dyDescent="0.25">
      <c r="A750" s="5">
        <v>45616.399305555555</v>
      </c>
      <c r="B750" s="3" t="s">
        <v>646</v>
      </c>
      <c r="C750" s="3">
        <v>10000006824</v>
      </c>
      <c r="D750" s="3" t="s">
        <v>104</v>
      </c>
      <c r="E750" s="3" t="s">
        <v>185</v>
      </c>
      <c r="F750" s="3" t="s">
        <v>6</v>
      </c>
      <c r="G750" s="3"/>
      <c r="H750" s="6" t="s">
        <v>42</v>
      </c>
      <c r="I750" s="6" t="s">
        <v>13</v>
      </c>
      <c r="J750" s="5">
        <v>45616.423611111109</v>
      </c>
      <c r="K750" s="7">
        <f t="shared" si="11"/>
        <v>2.4305555554747116E-2</v>
      </c>
    </row>
    <row r="751" spans="1:11" x14ac:dyDescent="0.25">
      <c r="A751" s="5">
        <v>45616.497916666667</v>
      </c>
      <c r="B751" s="3" t="s">
        <v>647</v>
      </c>
      <c r="C751" s="3">
        <v>10000581488</v>
      </c>
      <c r="D751" s="3" t="s">
        <v>9</v>
      </c>
      <c r="E751" s="3" t="s">
        <v>648</v>
      </c>
      <c r="F751" s="3" t="s">
        <v>57</v>
      </c>
      <c r="G751" s="3"/>
      <c r="H751" s="6" t="s">
        <v>649</v>
      </c>
      <c r="I751" s="6" t="s">
        <v>14</v>
      </c>
      <c r="J751" s="5">
        <v>45616.540972222225</v>
      </c>
      <c r="K751" s="7">
        <f t="shared" si="11"/>
        <v>4.3055555557657499E-2</v>
      </c>
    </row>
    <row r="752" spans="1:11" x14ac:dyDescent="0.25">
      <c r="A752" s="5">
        <v>45617.084722222222</v>
      </c>
      <c r="B752" s="3" t="s">
        <v>4</v>
      </c>
      <c r="C752" s="3">
        <v>7808270001</v>
      </c>
      <c r="D752" s="3" t="s">
        <v>9</v>
      </c>
      <c r="E752" s="3" t="s">
        <v>37</v>
      </c>
      <c r="F752" s="3" t="s">
        <v>6</v>
      </c>
      <c r="G752" s="3"/>
      <c r="H752" s="6" t="s">
        <v>650</v>
      </c>
      <c r="I752" s="6" t="s">
        <v>14</v>
      </c>
      <c r="J752" s="5">
        <v>45617.125694444447</v>
      </c>
      <c r="K752" s="7">
        <f t="shared" si="11"/>
        <v>4.0972222224809229E-2</v>
      </c>
    </row>
    <row r="753" spans="1:11" x14ac:dyDescent="0.25">
      <c r="A753" s="5">
        <v>45617.294444444444</v>
      </c>
      <c r="B753" s="3" t="s">
        <v>4</v>
      </c>
      <c r="C753" s="3">
        <v>10000569606</v>
      </c>
      <c r="D753" s="3" t="s">
        <v>9</v>
      </c>
      <c r="E753" s="3" t="s">
        <v>19</v>
      </c>
      <c r="F753" s="3" t="s">
        <v>51</v>
      </c>
      <c r="G753" s="3"/>
      <c r="H753" s="6" t="s">
        <v>651</v>
      </c>
      <c r="I753" s="6" t="s">
        <v>13</v>
      </c>
      <c r="J753" s="5">
        <v>45617.297222222223</v>
      </c>
      <c r="K753" s="7">
        <f t="shared" si="11"/>
        <v>2.7777777795563452E-3</v>
      </c>
    </row>
    <row r="754" spans="1:11" x14ac:dyDescent="0.25">
      <c r="A754" s="5">
        <v>45617.355555555558</v>
      </c>
      <c r="B754" s="3" t="s">
        <v>4</v>
      </c>
      <c r="C754" s="3">
        <v>10000569606</v>
      </c>
      <c r="D754" s="3" t="s">
        <v>9</v>
      </c>
      <c r="E754" s="3" t="s">
        <v>19</v>
      </c>
      <c r="F754" s="3" t="s">
        <v>51</v>
      </c>
      <c r="G754" s="3"/>
      <c r="H754" s="6" t="s">
        <v>651</v>
      </c>
      <c r="I754" s="6" t="s">
        <v>13</v>
      </c>
      <c r="J754" s="5">
        <v>45617.36041666667</v>
      </c>
      <c r="K754" s="7">
        <f t="shared" si="11"/>
        <v>4.8611111124046147E-3</v>
      </c>
    </row>
    <row r="755" spans="1:11" ht="30" x14ac:dyDescent="0.25">
      <c r="A755" s="5">
        <v>45617.787499999999</v>
      </c>
      <c r="B755" s="3" t="s">
        <v>652</v>
      </c>
      <c r="C755" s="3">
        <v>10000568648</v>
      </c>
      <c r="D755" s="3" t="s">
        <v>134</v>
      </c>
      <c r="E755" s="3" t="s">
        <v>450</v>
      </c>
      <c r="F755" s="3" t="s">
        <v>570</v>
      </c>
      <c r="G755" s="3"/>
      <c r="H755" s="6" t="s">
        <v>653</v>
      </c>
      <c r="I755" s="6" t="s">
        <v>14</v>
      </c>
      <c r="J755" s="5">
        <v>45617.916666666664</v>
      </c>
      <c r="K755" s="7">
        <f t="shared" si="11"/>
        <v>0.12916666666569654</v>
      </c>
    </row>
    <row r="756" spans="1:11" x14ac:dyDescent="0.25">
      <c r="A756" s="5">
        <v>45620.494444444441</v>
      </c>
      <c r="B756" s="3" t="s">
        <v>4</v>
      </c>
      <c r="C756" s="3">
        <v>10000024475</v>
      </c>
      <c r="D756" s="3" t="s">
        <v>10</v>
      </c>
      <c r="E756" s="3" t="s">
        <v>23</v>
      </c>
      <c r="F756" s="3" t="s">
        <v>6</v>
      </c>
      <c r="G756" s="3"/>
      <c r="H756" s="6" t="s">
        <v>42</v>
      </c>
      <c r="I756" s="6" t="s">
        <v>13</v>
      </c>
      <c r="J756" s="5">
        <v>45621.340277777781</v>
      </c>
      <c r="K756" s="7">
        <f t="shared" si="11"/>
        <v>0.84583333334012423</v>
      </c>
    </row>
    <row r="757" spans="1:11" x14ac:dyDescent="0.25">
      <c r="A757" s="5">
        <v>45620.651388888888</v>
      </c>
      <c r="B757" s="3" t="s">
        <v>4</v>
      </c>
      <c r="C757" s="3">
        <v>10000347457</v>
      </c>
      <c r="D757" s="3" t="s">
        <v>9</v>
      </c>
      <c r="E757" s="3" t="s">
        <v>93</v>
      </c>
      <c r="F757" s="3" t="s">
        <v>6</v>
      </c>
      <c r="G757" s="3"/>
      <c r="H757" s="6" t="s">
        <v>654</v>
      </c>
      <c r="I757" s="6" t="s">
        <v>14</v>
      </c>
      <c r="J757" s="5">
        <v>45620.802083333336</v>
      </c>
      <c r="K757" s="7">
        <f t="shared" si="11"/>
        <v>0.15069444444816327</v>
      </c>
    </row>
    <row r="758" spans="1:11" x14ac:dyDescent="0.25">
      <c r="A758" s="5">
        <v>45622.001388888886</v>
      </c>
      <c r="B758" s="3" t="s">
        <v>655</v>
      </c>
      <c r="C758" s="3">
        <v>10000568548</v>
      </c>
      <c r="D758" s="3" t="s">
        <v>134</v>
      </c>
      <c r="E758" s="3" t="s">
        <v>450</v>
      </c>
      <c r="F758" s="3" t="s">
        <v>656</v>
      </c>
      <c r="G758" s="3"/>
      <c r="H758" s="6" t="s">
        <v>657</v>
      </c>
      <c r="I758" s="6" t="s">
        <v>14</v>
      </c>
      <c r="J758" s="5">
        <v>45622.008333333331</v>
      </c>
      <c r="K758" s="7">
        <f t="shared" si="11"/>
        <v>6.9444444452528842E-3</v>
      </c>
    </row>
    <row r="759" spans="1:11" x14ac:dyDescent="0.25">
      <c r="A759" s="5">
        <v>45622.402777777781</v>
      </c>
      <c r="B759" s="3" t="s">
        <v>658</v>
      </c>
      <c r="C759" s="3">
        <v>10000568548</v>
      </c>
      <c r="D759" s="3" t="s">
        <v>134</v>
      </c>
      <c r="E759" s="3" t="s">
        <v>450</v>
      </c>
      <c r="F759" s="3" t="s">
        <v>38</v>
      </c>
      <c r="G759" s="3"/>
      <c r="H759" s="6" t="s">
        <v>659</v>
      </c>
      <c r="I759" s="6" t="s">
        <v>14</v>
      </c>
      <c r="J759" s="5">
        <v>45622.421527777777</v>
      </c>
      <c r="K759" s="7">
        <f t="shared" si="11"/>
        <v>1.8749999995634425E-2</v>
      </c>
    </row>
    <row r="760" spans="1:11" x14ac:dyDescent="0.25">
      <c r="A760" s="5">
        <v>45622.636805555558</v>
      </c>
      <c r="B760" s="3" t="s">
        <v>4</v>
      </c>
      <c r="C760" s="3">
        <v>6999100001</v>
      </c>
      <c r="D760" s="3" t="s">
        <v>10</v>
      </c>
      <c r="E760" s="3" t="s">
        <v>95</v>
      </c>
      <c r="F760" s="3" t="s">
        <v>6</v>
      </c>
      <c r="G760" s="3"/>
      <c r="H760" s="6" t="s">
        <v>660</v>
      </c>
      <c r="I760" s="6" t="s">
        <v>14</v>
      </c>
      <c r="J760" s="5">
        <v>45622.638888888891</v>
      </c>
      <c r="K760" s="7">
        <f t="shared" si="11"/>
        <v>2.0833333328482695E-3</v>
      </c>
    </row>
    <row r="761" spans="1:11" x14ac:dyDescent="0.25">
      <c r="A761" s="5">
        <v>45623.442361111112</v>
      </c>
      <c r="B761" s="3" t="s">
        <v>674</v>
      </c>
      <c r="C761" s="3">
        <v>6999100001</v>
      </c>
      <c r="D761" s="3" t="s">
        <v>10</v>
      </c>
      <c r="E761" s="3" t="s">
        <v>95</v>
      </c>
      <c r="F761" s="3" t="s">
        <v>675</v>
      </c>
      <c r="G761" s="3"/>
      <c r="H761" s="6" t="s">
        <v>676</v>
      </c>
      <c r="I761" s="6" t="s">
        <v>14</v>
      </c>
      <c r="J761" s="5">
        <v>45623.597916666666</v>
      </c>
      <c r="K761" s="7">
        <f t="shared" si="11"/>
        <v>0.15555555555329192</v>
      </c>
    </row>
    <row r="762" spans="1:11" x14ac:dyDescent="0.25">
      <c r="A762" s="5">
        <v>45625.003472222219</v>
      </c>
      <c r="B762" s="3" t="s">
        <v>661</v>
      </c>
      <c r="C762" s="3">
        <v>10000568548</v>
      </c>
      <c r="D762" s="3" t="s">
        <v>134</v>
      </c>
      <c r="E762" s="3" t="s">
        <v>450</v>
      </c>
      <c r="F762" s="3" t="s">
        <v>656</v>
      </c>
      <c r="G762" s="3"/>
      <c r="H762" s="6" t="s">
        <v>662</v>
      </c>
      <c r="I762" s="6" t="s">
        <v>14</v>
      </c>
      <c r="J762" s="5">
        <v>45625.022916666669</v>
      </c>
      <c r="K762" s="7">
        <f t="shared" si="11"/>
        <v>1.9444444449618459E-2</v>
      </c>
    </row>
    <row r="763" spans="1:11" x14ac:dyDescent="0.25">
      <c r="A763" s="5">
        <v>45625.09375</v>
      </c>
      <c r="B763" s="3" t="s">
        <v>4</v>
      </c>
      <c r="C763" s="3">
        <v>10000017699</v>
      </c>
      <c r="D763" s="3" t="s">
        <v>10</v>
      </c>
      <c r="E763" s="3" t="s">
        <v>144</v>
      </c>
      <c r="F763" s="3" t="s">
        <v>6</v>
      </c>
      <c r="G763" s="3"/>
      <c r="H763" s="6" t="s">
        <v>663</v>
      </c>
      <c r="I763" s="6" t="s">
        <v>14</v>
      </c>
      <c r="J763" s="5">
        <v>45625.098611111112</v>
      </c>
      <c r="K763" s="7">
        <f t="shared" si="11"/>
        <v>4.8611111124046147E-3</v>
      </c>
    </row>
    <row r="764" spans="1:11" x14ac:dyDescent="0.25">
      <c r="A764" s="5">
        <v>45626.421527777777</v>
      </c>
      <c r="B764" s="3" t="s">
        <v>664</v>
      </c>
      <c r="C764" s="3">
        <v>10000457640</v>
      </c>
      <c r="D764" s="3" t="s">
        <v>104</v>
      </c>
      <c r="E764" s="3" t="s">
        <v>242</v>
      </c>
      <c r="F764" s="3" t="s">
        <v>6</v>
      </c>
      <c r="G764" s="3"/>
      <c r="H764" s="6" t="s">
        <v>665</v>
      </c>
      <c r="I764" s="6" t="s">
        <v>14</v>
      </c>
      <c r="J764" s="5">
        <v>45626.499305555553</v>
      </c>
      <c r="K764" s="7">
        <f t="shared" si="11"/>
        <v>7.7777777776645962E-2</v>
      </c>
    </row>
    <row r="765" spans="1:11" x14ac:dyDescent="0.25">
      <c r="A765" s="5">
        <v>45627.493055555555</v>
      </c>
      <c r="B765" s="3" t="s">
        <v>666</v>
      </c>
      <c r="C765" s="3">
        <v>10000000822</v>
      </c>
      <c r="D765" s="3" t="s">
        <v>9</v>
      </c>
      <c r="E765" s="3" t="s">
        <v>179</v>
      </c>
      <c r="F765" s="3" t="s">
        <v>6</v>
      </c>
      <c r="G765" s="3"/>
      <c r="H765" s="6" t="s">
        <v>512</v>
      </c>
      <c r="I765" s="6" t="s">
        <v>13</v>
      </c>
      <c r="J765" s="5">
        <v>45627.781944444447</v>
      </c>
      <c r="K765" s="7">
        <f t="shared" si="11"/>
        <v>0.28888888889196096</v>
      </c>
    </row>
    <row r="766" spans="1:11" x14ac:dyDescent="0.25">
      <c r="A766" s="5">
        <v>45628.497916666667</v>
      </c>
      <c r="B766" s="3" t="s">
        <v>668</v>
      </c>
      <c r="C766" s="3">
        <v>10000396994</v>
      </c>
      <c r="D766" s="3" t="s">
        <v>9</v>
      </c>
      <c r="E766" s="3" t="s">
        <v>338</v>
      </c>
      <c r="F766" s="3" t="s">
        <v>6</v>
      </c>
      <c r="G766" s="3"/>
      <c r="H766" s="6" t="s">
        <v>669</v>
      </c>
      <c r="I766" s="6" t="s">
        <v>14</v>
      </c>
      <c r="J766" s="5">
        <v>45628.773611111108</v>
      </c>
      <c r="K766" s="7">
        <f t="shared" si="11"/>
        <v>0.27569444444088731</v>
      </c>
    </row>
    <row r="767" spans="1:11" x14ac:dyDescent="0.25">
      <c r="A767" s="5">
        <v>45634.470138888886</v>
      </c>
      <c r="B767" s="3" t="s">
        <v>4</v>
      </c>
      <c r="C767" s="3">
        <v>7823550001</v>
      </c>
      <c r="D767" s="3" t="s">
        <v>10</v>
      </c>
      <c r="E767" s="3" t="s">
        <v>102</v>
      </c>
      <c r="F767" s="3" t="s">
        <v>6</v>
      </c>
      <c r="G767" s="3" t="s">
        <v>730</v>
      </c>
      <c r="H767" s="6" t="s">
        <v>42</v>
      </c>
      <c r="I767" s="6" t="s">
        <v>13</v>
      </c>
      <c r="J767" s="5">
        <v>45634.472222222219</v>
      </c>
      <c r="K767" s="7">
        <f t="shared" si="11"/>
        <v>2.0833333328482695E-3</v>
      </c>
    </row>
    <row r="768" spans="1:11" x14ac:dyDescent="0.25">
      <c r="A768" s="5">
        <v>45634.815972222219</v>
      </c>
      <c r="B768" s="3" t="s">
        <v>4</v>
      </c>
      <c r="C768" s="3">
        <v>6999070001</v>
      </c>
      <c r="D768" s="3" t="s">
        <v>10</v>
      </c>
      <c r="E768" s="3" t="s">
        <v>86</v>
      </c>
      <c r="F768" s="3" t="s">
        <v>6</v>
      </c>
      <c r="G768" s="3" t="s">
        <v>730</v>
      </c>
      <c r="H768" s="6" t="s">
        <v>42</v>
      </c>
      <c r="I768" s="6" t="s">
        <v>13</v>
      </c>
      <c r="J768" s="5">
        <v>45634.883333333331</v>
      </c>
      <c r="K768" s="7">
        <f t="shared" si="11"/>
        <v>6.7361111112404615E-2</v>
      </c>
    </row>
    <row r="769" spans="1:11" x14ac:dyDescent="0.25">
      <c r="A769" s="5">
        <v>45635.665277777778</v>
      </c>
      <c r="B769" s="3" t="s">
        <v>677</v>
      </c>
      <c r="C769" s="3">
        <v>10000058781</v>
      </c>
      <c r="D769" s="3" t="s">
        <v>9</v>
      </c>
      <c r="E769" s="3" t="s">
        <v>247</v>
      </c>
      <c r="F769" s="3" t="s">
        <v>6</v>
      </c>
      <c r="G769" s="3" t="s">
        <v>728</v>
      </c>
      <c r="H769" s="6" t="s">
        <v>678</v>
      </c>
      <c r="I769" s="6" t="s">
        <v>14</v>
      </c>
      <c r="J769" s="5">
        <v>45636.555555555555</v>
      </c>
      <c r="K769" s="7">
        <f t="shared" si="11"/>
        <v>0.89027777777664596</v>
      </c>
    </row>
    <row r="770" spans="1:11" x14ac:dyDescent="0.25">
      <c r="A770" s="5">
        <v>45635.6875</v>
      </c>
      <c r="B770" s="3" t="s">
        <v>679</v>
      </c>
      <c r="C770" s="3">
        <v>10000057941</v>
      </c>
      <c r="D770" s="3" t="s">
        <v>9</v>
      </c>
      <c r="E770" s="3" t="s">
        <v>680</v>
      </c>
      <c r="F770" s="3" t="s">
        <v>681</v>
      </c>
      <c r="G770" s="3" t="s">
        <v>728</v>
      </c>
      <c r="H770" s="6" t="s">
        <v>678</v>
      </c>
      <c r="I770" s="6" t="s">
        <v>14</v>
      </c>
      <c r="J770" s="5">
        <v>45636.5625</v>
      </c>
      <c r="K770" s="7">
        <f t="shared" si="11"/>
        <v>0.875</v>
      </c>
    </row>
    <row r="771" spans="1:11" x14ac:dyDescent="0.25">
      <c r="A771" s="5">
        <v>45636.031944444447</v>
      </c>
      <c r="B771" s="3" t="s">
        <v>682</v>
      </c>
      <c r="C771" s="3">
        <v>10000000853</v>
      </c>
      <c r="D771" s="3" t="s">
        <v>9</v>
      </c>
      <c r="E771" s="3" t="s">
        <v>62</v>
      </c>
      <c r="F771" s="3" t="s">
        <v>6</v>
      </c>
      <c r="G771" s="3" t="s">
        <v>728</v>
      </c>
      <c r="H771" s="6" t="s">
        <v>683</v>
      </c>
      <c r="I771" s="6" t="s">
        <v>14</v>
      </c>
      <c r="J771" s="5">
        <v>45636.134027777778</v>
      </c>
      <c r="K771" s="7">
        <f t="shared" si="11"/>
        <v>0.10208333333139308</v>
      </c>
    </row>
    <row r="772" spans="1:11" x14ac:dyDescent="0.25">
      <c r="A772" s="5">
        <v>45636.429166666669</v>
      </c>
      <c r="B772" s="3" t="s">
        <v>684</v>
      </c>
      <c r="C772" s="3">
        <v>6963530001</v>
      </c>
      <c r="D772" s="3" t="s">
        <v>9</v>
      </c>
      <c r="E772" s="3" t="s">
        <v>67</v>
      </c>
      <c r="F772" s="3" t="s">
        <v>6</v>
      </c>
      <c r="G772" s="3" t="s">
        <v>728</v>
      </c>
      <c r="H772" s="6" t="s">
        <v>678</v>
      </c>
      <c r="I772" s="6" t="s">
        <v>14</v>
      </c>
      <c r="J772" s="5">
        <v>45636.775694444441</v>
      </c>
      <c r="K772" s="7">
        <f t="shared" si="11"/>
        <v>0.34652777777228039</v>
      </c>
    </row>
    <row r="773" spans="1:11" s="14" customFormat="1" x14ac:dyDescent="0.25">
      <c r="A773" s="5">
        <v>45636.592361111114</v>
      </c>
      <c r="B773" s="3" t="s">
        <v>685</v>
      </c>
      <c r="C773" s="3">
        <v>10000002079</v>
      </c>
      <c r="D773" s="3" t="s">
        <v>10</v>
      </c>
      <c r="E773" s="3" t="s">
        <v>16</v>
      </c>
      <c r="F773" s="3" t="s">
        <v>6</v>
      </c>
      <c r="G773" s="3" t="s">
        <v>728</v>
      </c>
      <c r="H773" s="6" t="s">
        <v>686</v>
      </c>
      <c r="I773" s="6" t="s">
        <v>14</v>
      </c>
      <c r="J773" s="5">
        <v>45638.363194444442</v>
      </c>
      <c r="K773" s="7">
        <f t="shared" si="11"/>
        <v>1.7708333333284827</v>
      </c>
    </row>
    <row r="774" spans="1:11" ht="30" x14ac:dyDescent="0.25">
      <c r="A774" s="5">
        <v>45639.120138888888</v>
      </c>
      <c r="B774" s="3" t="s">
        <v>4</v>
      </c>
      <c r="C774" s="3">
        <v>7808270001</v>
      </c>
      <c r="D774" s="3" t="s">
        <v>9</v>
      </c>
      <c r="E774" s="3" t="s">
        <v>37</v>
      </c>
      <c r="F774" s="3" t="s">
        <v>6</v>
      </c>
      <c r="G774" s="3" t="s">
        <v>731</v>
      </c>
      <c r="H774" s="6" t="s">
        <v>687</v>
      </c>
      <c r="I774" s="6" t="s">
        <v>14</v>
      </c>
      <c r="J774" s="5">
        <v>45639.125694444447</v>
      </c>
      <c r="K774" s="7">
        <f t="shared" si="11"/>
        <v>5.5555555591126904E-3</v>
      </c>
    </row>
    <row r="775" spans="1:11" x14ac:dyDescent="0.25">
      <c r="A775" s="5">
        <v>45640.586805555555</v>
      </c>
      <c r="B775" s="3" t="s">
        <v>688</v>
      </c>
      <c r="C775" s="3">
        <v>10000579902</v>
      </c>
      <c r="D775" s="3" t="s">
        <v>10</v>
      </c>
      <c r="E775" s="3" t="s">
        <v>23</v>
      </c>
      <c r="F775" s="3" t="s">
        <v>51</v>
      </c>
      <c r="G775" s="3"/>
      <c r="H775" s="6" t="s">
        <v>701</v>
      </c>
      <c r="I775" s="6" t="s">
        <v>14</v>
      </c>
      <c r="J775" s="5">
        <v>45644.59097222222</v>
      </c>
      <c r="K775" s="7">
        <f t="shared" si="11"/>
        <v>4.0041666666656965</v>
      </c>
    </row>
    <row r="776" spans="1:11" x14ac:dyDescent="0.25">
      <c r="A776" s="5">
        <v>45641.707638888889</v>
      </c>
      <c r="B776" s="3" t="s">
        <v>689</v>
      </c>
      <c r="C776" s="3">
        <v>6999020001</v>
      </c>
      <c r="D776" s="3" t="s">
        <v>10</v>
      </c>
      <c r="E776" s="3" t="s">
        <v>72</v>
      </c>
      <c r="F776" s="3" t="s">
        <v>6</v>
      </c>
      <c r="G776" s="3" t="s">
        <v>728</v>
      </c>
      <c r="H776" s="6" t="s">
        <v>702</v>
      </c>
      <c r="I776" s="6" t="s">
        <v>14</v>
      </c>
      <c r="J776" s="5">
        <v>45642.79791666667</v>
      </c>
      <c r="K776" s="7">
        <f t="shared" si="11"/>
        <v>1.0902777777810115</v>
      </c>
    </row>
    <row r="777" spans="1:11" x14ac:dyDescent="0.25">
      <c r="A777" s="5">
        <v>45641.718055555553</v>
      </c>
      <c r="B777" s="3" t="s">
        <v>690</v>
      </c>
      <c r="C777" s="3">
        <v>10000000824</v>
      </c>
      <c r="D777" s="3" t="s">
        <v>9</v>
      </c>
      <c r="E777" s="3" t="s">
        <v>149</v>
      </c>
      <c r="F777" s="3" t="s">
        <v>6</v>
      </c>
      <c r="G777" s="3" t="s">
        <v>729</v>
      </c>
      <c r="H777" s="6" t="s">
        <v>691</v>
      </c>
      <c r="I777" s="6" t="s">
        <v>14</v>
      </c>
      <c r="J777" s="5">
        <v>45641.824305555558</v>
      </c>
      <c r="K777" s="7">
        <f t="shared" si="11"/>
        <v>0.10625000000436557</v>
      </c>
    </row>
    <row r="778" spans="1:11" x14ac:dyDescent="0.25">
      <c r="A778" s="5">
        <v>45642.065972222219</v>
      </c>
      <c r="B778" s="3" t="s">
        <v>692</v>
      </c>
      <c r="C778" s="3">
        <v>10000000822</v>
      </c>
      <c r="D778" s="3" t="s">
        <v>9</v>
      </c>
      <c r="E778" s="3" t="s">
        <v>179</v>
      </c>
      <c r="F778" s="3" t="s">
        <v>6</v>
      </c>
      <c r="G778" s="3" t="s">
        <v>730</v>
      </c>
      <c r="H778" s="6" t="s">
        <v>693</v>
      </c>
      <c r="I778" s="6" t="s">
        <v>13</v>
      </c>
      <c r="J778" s="5">
        <v>45643.865277777775</v>
      </c>
      <c r="K778" s="7">
        <f t="shared" si="11"/>
        <v>1.7993055555562023</v>
      </c>
    </row>
    <row r="779" spans="1:11" x14ac:dyDescent="0.25">
      <c r="A779" s="5">
        <v>45643.663194444445</v>
      </c>
      <c r="B779" s="3" t="s">
        <v>694</v>
      </c>
      <c r="C779" s="3">
        <v>10000568648</v>
      </c>
      <c r="D779" s="3" t="s">
        <v>134</v>
      </c>
      <c r="E779" s="3" t="s">
        <v>450</v>
      </c>
      <c r="F779" s="3" t="s">
        <v>274</v>
      </c>
      <c r="G779" s="3" t="s">
        <v>728</v>
      </c>
      <c r="H779" s="6" t="s">
        <v>695</v>
      </c>
      <c r="I779" s="6" t="s">
        <v>14</v>
      </c>
      <c r="J779" s="5">
        <v>45643.663194444445</v>
      </c>
      <c r="K779" s="7">
        <f t="shared" si="11"/>
        <v>0</v>
      </c>
    </row>
    <row r="780" spans="1:11" x14ac:dyDescent="0.25">
      <c r="A780" s="5">
        <v>45643.832638888889</v>
      </c>
      <c r="B780" s="3" t="s">
        <v>4</v>
      </c>
      <c r="C780" s="3">
        <v>7810530001</v>
      </c>
      <c r="D780" s="3" t="s">
        <v>9</v>
      </c>
      <c r="E780" s="3" t="s">
        <v>26</v>
      </c>
      <c r="F780" s="3" t="s">
        <v>6</v>
      </c>
      <c r="G780" s="3" t="s">
        <v>730</v>
      </c>
      <c r="H780" s="6" t="s">
        <v>42</v>
      </c>
      <c r="I780" s="6" t="s">
        <v>13</v>
      </c>
      <c r="J780" s="5">
        <v>45643.865277777775</v>
      </c>
      <c r="K780" s="7">
        <f t="shared" si="11"/>
        <v>3.2638888886140194E-2</v>
      </c>
    </row>
    <row r="781" spans="1:11" x14ac:dyDescent="0.25">
      <c r="A781" s="5">
        <v>45644.556250000001</v>
      </c>
      <c r="B781" s="3" t="s">
        <v>696</v>
      </c>
      <c r="C781" s="3">
        <v>10000568648</v>
      </c>
      <c r="D781" s="3" t="s">
        <v>134</v>
      </c>
      <c r="E781" s="3" t="s">
        <v>450</v>
      </c>
      <c r="F781" s="3" t="s">
        <v>274</v>
      </c>
      <c r="G781" s="3" t="s">
        <v>728</v>
      </c>
      <c r="H781" s="6" t="s">
        <v>697</v>
      </c>
      <c r="I781" s="6" t="s">
        <v>14</v>
      </c>
      <c r="J781" s="5">
        <v>45644.662499999999</v>
      </c>
      <c r="K781" s="7">
        <f t="shared" ref="K781:K805" si="12">J781-A781</f>
        <v>0.10624999999708962</v>
      </c>
    </row>
    <row r="782" spans="1:11" x14ac:dyDescent="0.25">
      <c r="A782" s="5">
        <v>45645.316666666666</v>
      </c>
      <c r="B782" s="3" t="s">
        <v>698</v>
      </c>
      <c r="C782" s="3">
        <v>10000058625</v>
      </c>
      <c r="D782" s="3" t="s">
        <v>9</v>
      </c>
      <c r="E782" s="3" t="s">
        <v>41</v>
      </c>
      <c r="F782" s="3" t="s">
        <v>6</v>
      </c>
      <c r="G782" s="3" t="s">
        <v>729</v>
      </c>
      <c r="H782" s="6" t="s">
        <v>699</v>
      </c>
      <c r="I782" s="6" t="s">
        <v>14</v>
      </c>
      <c r="J782" s="5">
        <v>45645.411805555559</v>
      </c>
      <c r="K782" s="7">
        <f t="shared" si="12"/>
        <v>9.5138888893416151E-2</v>
      </c>
    </row>
    <row r="783" spans="1:11" x14ac:dyDescent="0.25">
      <c r="A783" s="5">
        <v>45645.370833333334</v>
      </c>
      <c r="B783" s="3" t="s">
        <v>700</v>
      </c>
      <c r="C783" s="3">
        <v>10000022234</v>
      </c>
      <c r="D783" s="3" t="s">
        <v>9</v>
      </c>
      <c r="E783" s="3" t="s">
        <v>100</v>
      </c>
      <c r="F783" s="3" t="s">
        <v>6</v>
      </c>
      <c r="G783" s="3" t="s">
        <v>729</v>
      </c>
      <c r="H783" s="6" t="s">
        <v>699</v>
      </c>
      <c r="I783" s="6" t="s">
        <v>14</v>
      </c>
      <c r="J783" s="5">
        <v>45645.411111111112</v>
      </c>
      <c r="K783" s="7">
        <f t="shared" si="12"/>
        <v>4.0277777778101154E-2</v>
      </c>
    </row>
    <row r="784" spans="1:11" x14ac:dyDescent="0.25">
      <c r="A784" s="5">
        <v>45646.131249999999</v>
      </c>
      <c r="B784" s="3" t="s">
        <v>4</v>
      </c>
      <c r="C784" s="3">
        <v>10000022234</v>
      </c>
      <c r="D784" s="3" t="s">
        <v>9</v>
      </c>
      <c r="E784" s="3" t="s">
        <v>100</v>
      </c>
      <c r="F784" s="3" t="s">
        <v>6</v>
      </c>
      <c r="G784" s="3" t="s">
        <v>731</v>
      </c>
      <c r="H784" s="6" t="s">
        <v>554</v>
      </c>
      <c r="I784" s="6" t="s">
        <v>14</v>
      </c>
      <c r="J784" s="5">
        <v>45646.143750000003</v>
      </c>
      <c r="K784" s="7">
        <f t="shared" si="12"/>
        <v>1.2500000004365575E-2</v>
      </c>
    </row>
    <row r="785" spans="1:12" x14ac:dyDescent="0.25">
      <c r="A785" s="5">
        <v>45646.162499999999</v>
      </c>
      <c r="B785" s="3" t="s">
        <v>4</v>
      </c>
      <c r="C785" s="3">
        <v>10000022234</v>
      </c>
      <c r="D785" s="3" t="s">
        <v>9</v>
      </c>
      <c r="E785" s="3" t="s">
        <v>100</v>
      </c>
      <c r="F785" s="3" t="s">
        <v>6</v>
      </c>
      <c r="G785" s="3" t="s">
        <v>731</v>
      </c>
      <c r="H785" s="6" t="s">
        <v>554</v>
      </c>
      <c r="I785" s="6" t="s">
        <v>14</v>
      </c>
      <c r="J785" s="5">
        <v>45646.168055555558</v>
      </c>
      <c r="K785" s="7">
        <f t="shared" si="12"/>
        <v>5.5555555591126904E-3</v>
      </c>
    </row>
    <row r="786" spans="1:12" x14ac:dyDescent="0.25">
      <c r="A786" s="5">
        <v>45646.207638888889</v>
      </c>
      <c r="B786" s="3" t="s">
        <v>4</v>
      </c>
      <c r="C786" s="3">
        <v>10000022234</v>
      </c>
      <c r="D786" s="3" t="s">
        <v>9</v>
      </c>
      <c r="E786" s="3" t="s">
        <v>100</v>
      </c>
      <c r="F786" s="3" t="s">
        <v>6</v>
      </c>
      <c r="G786" s="3" t="s">
        <v>731</v>
      </c>
      <c r="H786" s="6" t="s">
        <v>554</v>
      </c>
      <c r="I786" s="6" t="s">
        <v>14</v>
      </c>
      <c r="J786" s="5">
        <v>45646.211111111108</v>
      </c>
      <c r="K786" s="7">
        <f t="shared" si="12"/>
        <v>3.4722222189884633E-3</v>
      </c>
    </row>
    <row r="787" spans="1:12" x14ac:dyDescent="0.25">
      <c r="A787" s="5">
        <v>45647.089583333334</v>
      </c>
      <c r="B787" s="3" t="s">
        <v>703</v>
      </c>
      <c r="C787" s="3">
        <v>10000000824</v>
      </c>
      <c r="D787" s="3" t="s">
        <v>9</v>
      </c>
      <c r="E787" s="3" t="s">
        <v>149</v>
      </c>
      <c r="F787" s="3" t="s">
        <v>6</v>
      </c>
      <c r="G787" s="3" t="s">
        <v>729</v>
      </c>
      <c r="H787" s="6" t="s">
        <v>704</v>
      </c>
      <c r="I787" s="6" t="s">
        <v>14</v>
      </c>
      <c r="J787" s="5">
        <v>45647.254861111112</v>
      </c>
      <c r="K787" s="7">
        <f t="shared" si="12"/>
        <v>0.16527777777810115</v>
      </c>
    </row>
    <row r="788" spans="1:12" x14ac:dyDescent="0.25">
      <c r="A788" s="5">
        <v>45648.198611111111</v>
      </c>
      <c r="B788" s="3" t="s">
        <v>4</v>
      </c>
      <c r="C788" s="3">
        <v>10000514345</v>
      </c>
      <c r="D788" s="3" t="s">
        <v>9</v>
      </c>
      <c r="E788" s="3" t="s">
        <v>11</v>
      </c>
      <c r="F788" s="3" t="s">
        <v>6</v>
      </c>
      <c r="G788" s="3" t="s">
        <v>729</v>
      </c>
      <c r="H788" s="6" t="s">
        <v>705</v>
      </c>
      <c r="I788" s="6" t="s">
        <v>14</v>
      </c>
      <c r="J788" s="5">
        <v>45648.515972222223</v>
      </c>
      <c r="K788" s="7">
        <f t="shared" si="12"/>
        <v>0.31736111111240461</v>
      </c>
    </row>
    <row r="789" spans="1:12" x14ac:dyDescent="0.25">
      <c r="A789" s="5">
        <v>45648.45</v>
      </c>
      <c r="B789" s="3" t="s">
        <v>4</v>
      </c>
      <c r="C789" s="3">
        <v>10000296104</v>
      </c>
      <c r="D789" s="3" t="s">
        <v>9</v>
      </c>
      <c r="E789" s="3" t="s">
        <v>706</v>
      </c>
      <c r="F789" s="3" t="s">
        <v>6</v>
      </c>
      <c r="G789" s="2"/>
      <c r="H789" s="6" t="s">
        <v>709</v>
      </c>
      <c r="I789" s="6" t="s">
        <v>13</v>
      </c>
      <c r="J789" s="5">
        <v>45648.457638888889</v>
      </c>
      <c r="K789" s="7">
        <f t="shared" si="12"/>
        <v>7.6388888919609599E-3</v>
      </c>
    </row>
    <row r="790" spans="1:12" x14ac:dyDescent="0.25">
      <c r="A790" s="5">
        <v>45648.537499999999</v>
      </c>
      <c r="B790" s="3" t="s">
        <v>4</v>
      </c>
      <c r="C790" s="3">
        <v>10000379897</v>
      </c>
      <c r="D790" s="3" t="s">
        <v>10</v>
      </c>
      <c r="E790" s="3" t="s">
        <v>122</v>
      </c>
      <c r="F790" s="3" t="s">
        <v>6</v>
      </c>
      <c r="G790" s="3" t="s">
        <v>730</v>
      </c>
      <c r="H790" s="6" t="s">
        <v>42</v>
      </c>
      <c r="I790" s="6" t="s">
        <v>13</v>
      </c>
      <c r="J790" s="5">
        <v>45648.635416666664</v>
      </c>
      <c r="K790" s="7">
        <f t="shared" si="12"/>
        <v>9.7916666665696539E-2</v>
      </c>
    </row>
    <row r="791" spans="1:12" x14ac:dyDescent="0.25">
      <c r="A791" s="5">
        <v>45649.37777777778</v>
      </c>
      <c r="B791" s="3" t="s">
        <v>707</v>
      </c>
      <c r="C791" s="3">
        <v>4518550001</v>
      </c>
      <c r="D791" s="3" t="s">
        <v>10</v>
      </c>
      <c r="E791" s="3" t="s">
        <v>124</v>
      </c>
      <c r="F791" s="3" t="s">
        <v>708</v>
      </c>
      <c r="G791" s="3" t="s">
        <v>728</v>
      </c>
      <c r="H791" s="6" t="s">
        <v>710</v>
      </c>
      <c r="I791" s="6" t="s">
        <v>14</v>
      </c>
      <c r="J791" s="8">
        <v>45659.577581018515</v>
      </c>
      <c r="K791" s="7">
        <f t="shared" si="12"/>
        <v>10.199803240735491</v>
      </c>
      <c r="L791" s="9"/>
    </row>
    <row r="792" spans="1:12" x14ac:dyDescent="0.25">
      <c r="A792" s="5">
        <v>45651.134722222225</v>
      </c>
      <c r="B792" s="3" t="s">
        <v>711</v>
      </c>
      <c r="C792" s="3">
        <v>10000000824</v>
      </c>
      <c r="D792" s="3" t="s">
        <v>9</v>
      </c>
      <c r="E792" s="3" t="s">
        <v>149</v>
      </c>
      <c r="F792" s="3" t="s">
        <v>6</v>
      </c>
      <c r="G792" s="3" t="s">
        <v>729</v>
      </c>
      <c r="H792" s="6" t="s">
        <v>712</v>
      </c>
      <c r="I792" s="6" t="s">
        <v>14</v>
      </c>
      <c r="J792" s="5">
        <v>45651.402777777781</v>
      </c>
      <c r="K792" s="7">
        <f t="shared" si="12"/>
        <v>0.26805555555620231</v>
      </c>
    </row>
    <row r="793" spans="1:12" x14ac:dyDescent="0.25">
      <c r="A793" s="5">
        <v>45651.30972222222</v>
      </c>
      <c r="B793" s="3" t="s">
        <v>4</v>
      </c>
      <c r="C793" s="3">
        <v>7016120002</v>
      </c>
      <c r="D793" s="3" t="s">
        <v>45</v>
      </c>
      <c r="E793" s="3" t="s">
        <v>524</v>
      </c>
      <c r="F793" s="3" t="s">
        <v>6</v>
      </c>
      <c r="G793" s="3" t="s">
        <v>728</v>
      </c>
      <c r="H793" s="6" t="s">
        <v>724</v>
      </c>
      <c r="I793" s="6" t="s">
        <v>14</v>
      </c>
      <c r="J793" s="5">
        <v>45652.541666666664</v>
      </c>
      <c r="K793" s="7">
        <f t="shared" si="12"/>
        <v>1.2319444444437977</v>
      </c>
    </row>
    <row r="794" spans="1:12" x14ac:dyDescent="0.25">
      <c r="A794" s="5">
        <v>45651.34375</v>
      </c>
      <c r="B794" s="3" t="s">
        <v>713</v>
      </c>
      <c r="C794" s="3">
        <v>10000006824</v>
      </c>
      <c r="D794" s="3" t="s">
        <v>104</v>
      </c>
      <c r="E794" s="3" t="s">
        <v>185</v>
      </c>
      <c r="F794" s="3" t="s">
        <v>6</v>
      </c>
      <c r="G794" s="3" t="s">
        <v>730</v>
      </c>
      <c r="H794" s="6" t="s">
        <v>714</v>
      </c>
      <c r="I794" s="6" t="s">
        <v>13</v>
      </c>
      <c r="J794" s="5">
        <v>45651.365972222222</v>
      </c>
      <c r="K794" s="7">
        <f t="shared" si="12"/>
        <v>2.2222222221898846E-2</v>
      </c>
    </row>
    <row r="795" spans="1:12" x14ac:dyDescent="0.25">
      <c r="A795" s="5">
        <v>45651.578472222223</v>
      </c>
      <c r="B795" s="3" t="s">
        <v>4</v>
      </c>
      <c r="C795" s="3">
        <v>10000379551</v>
      </c>
      <c r="D795" s="3" t="s">
        <v>10</v>
      </c>
      <c r="E795" s="3" t="s">
        <v>56</v>
      </c>
      <c r="F795" s="3" t="s">
        <v>6</v>
      </c>
      <c r="G795" s="3" t="s">
        <v>730</v>
      </c>
      <c r="H795" s="6" t="s">
        <v>714</v>
      </c>
      <c r="I795" s="6" t="s">
        <v>13</v>
      </c>
      <c r="J795" s="5">
        <v>45651.947916666664</v>
      </c>
      <c r="K795" s="7">
        <f t="shared" si="12"/>
        <v>0.36944444444088731</v>
      </c>
    </row>
    <row r="796" spans="1:12" x14ac:dyDescent="0.25">
      <c r="A796" s="5">
        <v>45651.595833333333</v>
      </c>
      <c r="B796" s="3" t="s">
        <v>715</v>
      </c>
      <c r="C796" s="3">
        <v>10000052781</v>
      </c>
      <c r="D796" s="3" t="s">
        <v>10</v>
      </c>
      <c r="E796" s="3" t="s">
        <v>124</v>
      </c>
      <c r="F796" s="3" t="s">
        <v>6</v>
      </c>
      <c r="G796" s="3" t="s">
        <v>730</v>
      </c>
      <c r="H796" s="6" t="s">
        <v>714</v>
      </c>
      <c r="I796" s="6" t="s">
        <v>13</v>
      </c>
      <c r="J796" s="5">
        <v>45651.88958333333</v>
      </c>
      <c r="K796" s="7">
        <f t="shared" si="12"/>
        <v>0.29374999999708962</v>
      </c>
    </row>
    <row r="797" spans="1:12" x14ac:dyDescent="0.25">
      <c r="A797" s="5">
        <v>45651.719444444447</v>
      </c>
      <c r="B797" s="3" t="s">
        <v>716</v>
      </c>
      <c r="C797" s="3">
        <v>10000058625</v>
      </c>
      <c r="D797" s="3" t="s">
        <v>9</v>
      </c>
      <c r="E797" s="3" t="s">
        <v>41</v>
      </c>
      <c r="F797" s="3" t="s">
        <v>6</v>
      </c>
      <c r="G797" s="3" t="s">
        <v>728</v>
      </c>
      <c r="H797" s="6" t="s">
        <v>63</v>
      </c>
      <c r="I797" s="6" t="s">
        <v>14</v>
      </c>
      <c r="J797" s="5">
        <v>45652.416064814817</v>
      </c>
      <c r="K797" s="7">
        <f t="shared" si="12"/>
        <v>0.6966203703705105</v>
      </c>
    </row>
    <row r="798" spans="1:12" x14ac:dyDescent="0.25">
      <c r="A798" s="5">
        <v>45651.818055555559</v>
      </c>
      <c r="B798" s="3" t="s">
        <v>4</v>
      </c>
      <c r="C798" s="3">
        <v>10000365255</v>
      </c>
      <c r="D798" s="3" t="s">
        <v>9</v>
      </c>
      <c r="E798" s="3" t="s">
        <v>394</v>
      </c>
      <c r="F798" s="3" t="s">
        <v>6</v>
      </c>
      <c r="G798" s="3" t="s">
        <v>730</v>
      </c>
      <c r="H798" s="6" t="s">
        <v>714</v>
      </c>
      <c r="I798" s="6" t="s">
        <v>13</v>
      </c>
      <c r="J798" s="5">
        <v>45651.848611111112</v>
      </c>
      <c r="K798" s="7">
        <f t="shared" si="12"/>
        <v>3.0555555553291924E-2</v>
      </c>
    </row>
    <row r="799" spans="1:12" x14ac:dyDescent="0.25">
      <c r="A799" s="5">
        <v>45651.873611111114</v>
      </c>
      <c r="B799" s="3" t="s">
        <v>4</v>
      </c>
      <c r="C799" s="3">
        <v>6963530001</v>
      </c>
      <c r="D799" s="3" t="s">
        <v>9</v>
      </c>
      <c r="E799" s="3" t="s">
        <v>67</v>
      </c>
      <c r="F799" s="3" t="s">
        <v>6</v>
      </c>
      <c r="G799" s="3" t="s">
        <v>730</v>
      </c>
      <c r="H799" s="6" t="s">
        <v>714</v>
      </c>
      <c r="I799" s="6" t="s">
        <v>13</v>
      </c>
      <c r="J799" s="5">
        <v>45652.015277777777</v>
      </c>
      <c r="K799" s="7">
        <f t="shared" si="12"/>
        <v>0.14166666666278616</v>
      </c>
    </row>
    <row r="800" spans="1:12" x14ac:dyDescent="0.25">
      <c r="A800" s="5">
        <v>45651.970138888886</v>
      </c>
      <c r="B800" s="3" t="s">
        <v>717</v>
      </c>
      <c r="C800" s="3">
        <v>10000022240</v>
      </c>
      <c r="D800" s="3" t="s">
        <v>9</v>
      </c>
      <c r="E800" s="3" t="s">
        <v>263</v>
      </c>
      <c r="F800" s="3" t="s">
        <v>6</v>
      </c>
      <c r="G800" s="3" t="s">
        <v>729</v>
      </c>
      <c r="H800" s="6" t="s">
        <v>101</v>
      </c>
      <c r="I800" s="6" t="s">
        <v>14</v>
      </c>
      <c r="J800" s="5">
        <v>45652.017361111109</v>
      </c>
      <c r="K800" s="7">
        <f t="shared" si="12"/>
        <v>4.7222222223354038E-2</v>
      </c>
    </row>
    <row r="801" spans="1:13" x14ac:dyDescent="0.25">
      <c r="A801" s="5">
        <v>45652.029861111114</v>
      </c>
      <c r="B801" s="3" t="s">
        <v>4</v>
      </c>
      <c r="C801" s="3">
        <v>6963530001</v>
      </c>
      <c r="D801" s="3" t="s">
        <v>9</v>
      </c>
      <c r="E801" s="3" t="s">
        <v>67</v>
      </c>
      <c r="F801" s="3" t="s">
        <v>6</v>
      </c>
      <c r="G801" s="3" t="s">
        <v>730</v>
      </c>
      <c r="H801" s="6" t="s">
        <v>714</v>
      </c>
      <c r="I801" s="6" t="s">
        <v>13</v>
      </c>
      <c r="J801" s="5">
        <v>45652.039583333331</v>
      </c>
      <c r="K801" s="7">
        <f t="shared" si="12"/>
        <v>9.7222222175332718E-3</v>
      </c>
    </row>
    <row r="802" spans="1:13" x14ac:dyDescent="0.25">
      <c r="A802" s="5">
        <v>45652.067361111112</v>
      </c>
      <c r="B802" s="3" t="s">
        <v>717</v>
      </c>
      <c r="C802" s="3">
        <v>10000022240</v>
      </c>
      <c r="D802" s="3" t="s">
        <v>9</v>
      </c>
      <c r="E802" s="3" t="s">
        <v>263</v>
      </c>
      <c r="F802" s="3" t="s">
        <v>6</v>
      </c>
      <c r="G802" s="3" t="s">
        <v>729</v>
      </c>
      <c r="H802" s="6" t="s">
        <v>718</v>
      </c>
      <c r="I802" s="6" t="s">
        <v>14</v>
      </c>
      <c r="J802" s="5">
        <v>45652.511805555558</v>
      </c>
      <c r="K802" s="7">
        <f t="shared" si="12"/>
        <v>0.44444444444525288</v>
      </c>
    </row>
    <row r="803" spans="1:13" x14ac:dyDescent="0.25">
      <c r="A803" s="8">
        <v>45653.100787037038</v>
      </c>
      <c r="B803" s="6" t="s">
        <v>719</v>
      </c>
      <c r="C803" s="6">
        <v>10000000824</v>
      </c>
      <c r="D803" s="3" t="s">
        <v>9</v>
      </c>
      <c r="E803" s="6" t="s">
        <v>149</v>
      </c>
      <c r="F803" s="6" t="s">
        <v>6</v>
      </c>
      <c r="G803" s="3" t="s">
        <v>729</v>
      </c>
      <c r="H803" s="6" t="s">
        <v>720</v>
      </c>
      <c r="I803" s="6" t="s">
        <v>14</v>
      </c>
      <c r="J803" s="8">
        <v>45653.18540509259</v>
      </c>
      <c r="K803" s="7">
        <f t="shared" si="12"/>
        <v>8.4618055552709848E-2</v>
      </c>
    </row>
    <row r="804" spans="1:13" x14ac:dyDescent="0.25">
      <c r="A804" s="8">
        <v>45653.185243055559</v>
      </c>
      <c r="B804" s="6" t="s">
        <v>721</v>
      </c>
      <c r="C804" s="6">
        <v>10000022234</v>
      </c>
      <c r="D804" s="3" t="s">
        <v>9</v>
      </c>
      <c r="E804" s="3" t="s">
        <v>100</v>
      </c>
      <c r="F804" s="6" t="s">
        <v>6</v>
      </c>
      <c r="G804" s="3" t="s">
        <v>729</v>
      </c>
      <c r="H804" s="6" t="s">
        <v>722</v>
      </c>
      <c r="I804" s="6" t="s">
        <v>14</v>
      </c>
      <c r="J804" s="8">
        <v>45653.190358796295</v>
      </c>
      <c r="K804" s="7">
        <f t="shared" si="12"/>
        <v>5.1157407360733487E-3</v>
      </c>
    </row>
    <row r="805" spans="1:13" x14ac:dyDescent="0.25">
      <c r="A805" s="5">
        <v>45653.443749999999</v>
      </c>
      <c r="B805" s="3" t="s">
        <v>723</v>
      </c>
      <c r="C805" s="3">
        <v>10000000824</v>
      </c>
      <c r="D805" s="3" t="s">
        <v>9</v>
      </c>
      <c r="E805" s="6" t="s">
        <v>149</v>
      </c>
      <c r="F805" s="3" t="s">
        <v>6</v>
      </c>
      <c r="G805" s="3" t="s">
        <v>731</v>
      </c>
      <c r="H805" s="6" t="s">
        <v>259</v>
      </c>
      <c r="I805" s="6" t="s">
        <v>14</v>
      </c>
      <c r="J805" s="5">
        <v>45653.480949074074</v>
      </c>
      <c r="K805" s="7">
        <f t="shared" si="12"/>
        <v>3.7199074075033423E-2</v>
      </c>
    </row>
    <row r="816" spans="1:13" x14ac:dyDescent="0.25">
      <c r="M816" s="10"/>
    </row>
    <row r="900" spans="1:2" x14ac:dyDescent="0.25">
      <c r="A900" s="16"/>
      <c r="B900" s="17"/>
    </row>
  </sheetData>
  <autoFilter ref="A1:J900" xr:uid="{794AC04B-8FA1-46A3-9A0C-08E83CC243E1}">
    <sortState xmlns:xlrd2="http://schemas.microsoft.com/office/spreadsheetml/2017/richdata2" ref="A2:J900">
      <sortCondition ref="A1:A90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11568-C690-4D8B-8862-623F26347A29}">
  <sheetPr codeName="Hoja3"/>
  <dimension ref="A1"/>
  <sheetViews>
    <sheetView topLeftCell="A44" zoomScaleNormal="100" workbookViewId="0">
      <selection activeCell="V65" sqref="V65"/>
    </sheetView>
  </sheetViews>
  <sheetFormatPr baseColWidth="10"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C8C4-2FD9-4CF6-ACBC-AFC60FE65A34}">
  <sheetPr codeName="Hoja4"/>
  <dimension ref="B3:Q23"/>
  <sheetViews>
    <sheetView zoomScale="85" zoomScaleNormal="85" workbookViewId="0">
      <selection activeCell="B4" sqref="B4"/>
    </sheetView>
  </sheetViews>
  <sheetFormatPr baseColWidth="10" defaultRowHeight="15" x14ac:dyDescent="0.25"/>
  <cols>
    <col min="1" max="1" width="12.5703125" customWidth="1"/>
    <col min="2" max="2" width="69.85546875" bestFit="1" customWidth="1"/>
    <col min="3" max="3" width="26.42578125" bestFit="1" customWidth="1"/>
    <col min="4" max="4" width="12.5703125" bestFit="1" customWidth="1"/>
    <col min="5" max="5" width="17.5703125" bestFit="1" customWidth="1"/>
    <col min="6" max="6" width="26.42578125" bestFit="1" customWidth="1"/>
    <col min="7" max="7" width="15.140625" customWidth="1"/>
    <col min="8" max="8" width="38" bestFit="1" customWidth="1"/>
    <col min="9" max="9" width="23.85546875" bestFit="1" customWidth="1"/>
    <col min="10" max="10" width="13.28515625" customWidth="1"/>
    <col min="11" max="11" width="69.85546875" bestFit="1" customWidth="1"/>
    <col min="12" max="12" width="24.140625" bestFit="1" customWidth="1"/>
    <col min="13" max="13" width="35.42578125" bestFit="1" customWidth="1"/>
    <col min="14" max="14" width="34.5703125" bestFit="1" customWidth="1"/>
    <col min="15" max="15" width="19.5703125" bestFit="1" customWidth="1"/>
    <col min="16" max="16" width="27.28515625" bestFit="1" customWidth="1"/>
    <col min="17" max="17" width="12.5703125" bestFit="1" customWidth="1"/>
    <col min="18" max="18" width="110.140625" bestFit="1" customWidth="1"/>
    <col min="19" max="19" width="43.85546875" bestFit="1" customWidth="1"/>
    <col min="20" max="20" width="39.42578125" bestFit="1" customWidth="1"/>
    <col min="21" max="21" width="52.7109375" bestFit="1" customWidth="1"/>
    <col min="22" max="22" width="35.140625" bestFit="1" customWidth="1"/>
    <col min="23" max="23" width="44.140625" bestFit="1" customWidth="1"/>
    <col min="24" max="24" width="12.5703125" bestFit="1" customWidth="1"/>
    <col min="25" max="25" width="64.28515625" bestFit="1" customWidth="1"/>
    <col min="26" max="26" width="66.140625" bestFit="1" customWidth="1"/>
    <col min="27" max="27" width="50.140625" bestFit="1" customWidth="1"/>
    <col min="28" max="28" width="41.28515625" bestFit="1" customWidth="1"/>
    <col min="29" max="29" width="19.7109375" bestFit="1" customWidth="1"/>
    <col min="30" max="30" width="46" bestFit="1" customWidth="1"/>
    <col min="31" max="31" width="66.42578125" bestFit="1" customWidth="1"/>
    <col min="32" max="32" width="56.5703125" bestFit="1" customWidth="1"/>
    <col min="33" max="33" width="14.5703125" bestFit="1" customWidth="1"/>
    <col min="34" max="34" width="24.140625" bestFit="1" customWidth="1"/>
    <col min="35" max="35" width="34.5703125" bestFit="1" customWidth="1"/>
    <col min="36" max="36" width="33.7109375" bestFit="1" customWidth="1"/>
    <col min="37" max="37" width="35.42578125" bestFit="1" customWidth="1"/>
    <col min="38" max="38" width="34.5703125" bestFit="1" customWidth="1"/>
    <col min="39" max="39" width="18.7109375" bestFit="1" customWidth="1"/>
    <col min="40" max="40" width="19.42578125" bestFit="1" customWidth="1"/>
    <col min="41" max="41" width="19.5703125" bestFit="1" customWidth="1"/>
    <col min="42" max="42" width="27.28515625" bestFit="1" customWidth="1"/>
    <col min="43" max="43" width="110.140625" bestFit="1" customWidth="1"/>
    <col min="44" max="44" width="43.85546875" bestFit="1" customWidth="1"/>
    <col min="45" max="45" width="39.42578125" bestFit="1" customWidth="1"/>
    <col min="46" max="46" width="52.7109375" bestFit="1" customWidth="1"/>
    <col min="47" max="47" width="35.140625" bestFit="1" customWidth="1"/>
    <col min="48" max="48" width="51.42578125" bestFit="1" customWidth="1"/>
    <col min="49" max="49" width="44.140625" bestFit="1" customWidth="1"/>
    <col min="50" max="50" width="37" bestFit="1" customWidth="1"/>
    <col min="51" max="51" width="57" bestFit="1" customWidth="1"/>
    <col min="52" max="52" width="44.28515625" bestFit="1" customWidth="1"/>
    <col min="53" max="53" width="12.5703125" bestFit="1" customWidth="1"/>
    <col min="54" max="54" width="44.140625" bestFit="1" customWidth="1"/>
    <col min="55" max="55" width="84" bestFit="1" customWidth="1"/>
    <col min="56" max="56" width="63.85546875" bestFit="1" customWidth="1"/>
    <col min="57" max="57" width="65.140625" bestFit="1" customWidth="1"/>
    <col min="58" max="58" width="45.42578125" bestFit="1" customWidth="1"/>
    <col min="59" max="59" width="41.42578125" bestFit="1" customWidth="1"/>
    <col min="60" max="60" width="38.5703125" bestFit="1" customWidth="1"/>
    <col min="61" max="61" width="64.28515625" bestFit="1" customWidth="1"/>
    <col min="62" max="62" width="66.140625" bestFit="1" customWidth="1"/>
    <col min="63" max="63" width="50.140625" bestFit="1" customWidth="1"/>
    <col min="64" max="64" width="32.28515625" bestFit="1" customWidth="1"/>
    <col min="65" max="65" width="41.28515625" bestFit="1" customWidth="1"/>
    <col min="66" max="66" width="19.7109375" bestFit="1" customWidth="1"/>
    <col min="67" max="67" width="46" bestFit="1" customWidth="1"/>
    <col min="68" max="68" width="66.42578125" bestFit="1" customWidth="1"/>
    <col min="69" max="69" width="56.5703125" bestFit="1" customWidth="1"/>
    <col min="70" max="70" width="43.28515625" bestFit="1" customWidth="1"/>
    <col min="71" max="71" width="25.7109375" bestFit="1" customWidth="1"/>
    <col min="72" max="72" width="18.7109375" bestFit="1" customWidth="1"/>
    <col min="73" max="73" width="19.42578125" bestFit="1" customWidth="1"/>
    <col min="74" max="74" width="19.5703125" bestFit="1" customWidth="1"/>
    <col min="75" max="75" width="110.140625" bestFit="1" customWidth="1"/>
    <col min="76" max="76" width="43.85546875" bestFit="1" customWidth="1"/>
    <col min="77" max="77" width="39.42578125" bestFit="1" customWidth="1"/>
    <col min="78" max="78" width="52.7109375" bestFit="1" customWidth="1"/>
    <col min="79" max="79" width="35.140625" bestFit="1" customWidth="1"/>
    <col min="80" max="80" width="51.42578125" bestFit="1" customWidth="1"/>
    <col min="81" max="81" width="40.5703125" bestFit="1" customWidth="1"/>
    <col min="82" max="82" width="44.85546875" bestFit="1" customWidth="1"/>
    <col min="83" max="83" width="44.140625" bestFit="1" customWidth="1"/>
    <col min="84" max="84" width="37" bestFit="1" customWidth="1"/>
    <col min="85" max="85" width="57" bestFit="1" customWidth="1"/>
    <col min="86" max="86" width="44.28515625" bestFit="1" customWidth="1"/>
    <col min="87" max="87" width="28.85546875" bestFit="1" customWidth="1"/>
    <col min="88" max="88" width="29.85546875" bestFit="1" customWidth="1"/>
  </cols>
  <sheetData>
    <row r="3" spans="2:17" x14ac:dyDescent="0.25">
      <c r="B3" s="18" t="s">
        <v>825</v>
      </c>
      <c r="C3" t="s">
        <v>840</v>
      </c>
      <c r="E3" s="18" t="s">
        <v>825</v>
      </c>
      <c r="F3" t="s">
        <v>839</v>
      </c>
      <c r="H3" s="18" t="s">
        <v>825</v>
      </c>
      <c r="I3" t="s">
        <v>850</v>
      </c>
      <c r="K3" s="18" t="s">
        <v>850</v>
      </c>
      <c r="L3" s="18" t="s">
        <v>830</v>
      </c>
    </row>
    <row r="4" spans="2:17" x14ac:dyDescent="0.25">
      <c r="B4" s="14" t="s">
        <v>1069</v>
      </c>
      <c r="C4">
        <v>1</v>
      </c>
      <c r="E4" s="14" t="s">
        <v>13</v>
      </c>
      <c r="F4">
        <v>8</v>
      </c>
      <c r="H4" s="14" t="s">
        <v>849</v>
      </c>
      <c r="I4">
        <v>9</v>
      </c>
      <c r="K4" s="18" t="s">
        <v>825</v>
      </c>
      <c r="L4" t="s">
        <v>849</v>
      </c>
      <c r="M4" t="s">
        <v>975</v>
      </c>
      <c r="N4" t="s">
        <v>974</v>
      </c>
      <c r="O4" t="s">
        <v>802</v>
      </c>
      <c r="P4" t="s">
        <v>993</v>
      </c>
      <c r="Q4" t="s">
        <v>826</v>
      </c>
    </row>
    <row r="5" spans="2:17" x14ac:dyDescent="0.25">
      <c r="B5" s="14" t="s">
        <v>1070</v>
      </c>
      <c r="C5">
        <v>1</v>
      </c>
      <c r="E5" s="14" t="s">
        <v>14</v>
      </c>
      <c r="F5">
        <v>12</v>
      </c>
      <c r="H5" s="14" t="s">
        <v>975</v>
      </c>
      <c r="I5">
        <v>2</v>
      </c>
      <c r="K5" s="14" t="s">
        <v>1075</v>
      </c>
      <c r="N5">
        <v>1</v>
      </c>
      <c r="Q5">
        <v>1</v>
      </c>
    </row>
    <row r="6" spans="2:17" x14ac:dyDescent="0.25">
      <c r="B6" s="14" t="s">
        <v>1078</v>
      </c>
      <c r="C6">
        <v>1</v>
      </c>
      <c r="E6" s="14" t="s">
        <v>826</v>
      </c>
      <c r="F6">
        <v>20</v>
      </c>
      <c r="H6" s="14" t="s">
        <v>974</v>
      </c>
      <c r="I6">
        <v>3</v>
      </c>
      <c r="K6" s="14" t="s">
        <v>1070</v>
      </c>
      <c r="M6">
        <v>1</v>
      </c>
      <c r="Q6">
        <v>1</v>
      </c>
    </row>
    <row r="7" spans="2:17" x14ac:dyDescent="0.25">
      <c r="B7" s="14" t="s">
        <v>1073</v>
      </c>
      <c r="C7">
        <v>1</v>
      </c>
      <c r="H7" s="14" t="s">
        <v>802</v>
      </c>
      <c r="I7">
        <v>5</v>
      </c>
      <c r="K7" s="14" t="s">
        <v>1082</v>
      </c>
      <c r="O7">
        <v>1</v>
      </c>
      <c r="Q7">
        <v>1</v>
      </c>
    </row>
    <row r="8" spans="2:17" x14ac:dyDescent="0.25">
      <c r="B8" s="14" t="s">
        <v>827</v>
      </c>
      <c r="C8">
        <v>1</v>
      </c>
      <c r="E8" s="18" t="s">
        <v>825</v>
      </c>
      <c r="F8" t="s">
        <v>846</v>
      </c>
      <c r="H8" s="14" t="s">
        <v>826</v>
      </c>
      <c r="I8">
        <v>19</v>
      </c>
      <c r="K8" s="14" t="s">
        <v>1079</v>
      </c>
      <c r="N8">
        <v>1</v>
      </c>
      <c r="Q8">
        <v>1</v>
      </c>
    </row>
    <row r="9" spans="2:17" x14ac:dyDescent="0.25">
      <c r="B9" s="14" t="s">
        <v>1074</v>
      </c>
      <c r="C9">
        <v>1</v>
      </c>
      <c r="E9" s="14" t="s">
        <v>841</v>
      </c>
      <c r="F9">
        <v>7</v>
      </c>
      <c r="K9" s="14" t="s">
        <v>1073</v>
      </c>
      <c r="L9">
        <v>1</v>
      </c>
      <c r="Q9">
        <v>1</v>
      </c>
    </row>
    <row r="10" spans="2:17" x14ac:dyDescent="0.25">
      <c r="B10" s="14" t="s">
        <v>899</v>
      </c>
      <c r="C10">
        <v>1</v>
      </c>
      <c r="E10" s="14" t="s">
        <v>842</v>
      </c>
      <c r="F10">
        <v>77</v>
      </c>
      <c r="K10" s="14" t="s">
        <v>829</v>
      </c>
      <c r="O10">
        <v>1</v>
      </c>
      <c r="Q10">
        <v>1</v>
      </c>
    </row>
    <row r="11" spans="2:17" x14ac:dyDescent="0.25">
      <c r="B11" s="14" t="s">
        <v>1072</v>
      </c>
      <c r="C11">
        <v>1</v>
      </c>
      <c r="E11" s="14" t="s">
        <v>843</v>
      </c>
      <c r="F11">
        <v>8</v>
      </c>
      <c r="K11" s="14" t="s">
        <v>899</v>
      </c>
      <c r="L11">
        <v>1</v>
      </c>
      <c r="Q11">
        <v>1</v>
      </c>
    </row>
    <row r="12" spans="2:17" x14ac:dyDescent="0.25">
      <c r="B12" s="14" t="s">
        <v>1075</v>
      </c>
      <c r="C12">
        <v>1</v>
      </c>
      <c r="E12" s="14" t="s">
        <v>844</v>
      </c>
      <c r="F12">
        <v>4</v>
      </c>
      <c r="K12" s="14" t="s">
        <v>1080</v>
      </c>
      <c r="P12">
        <v>1</v>
      </c>
      <c r="Q12">
        <v>1</v>
      </c>
    </row>
    <row r="13" spans="2:17" x14ac:dyDescent="0.25">
      <c r="B13" s="14" t="s">
        <v>1076</v>
      </c>
      <c r="C13">
        <v>1</v>
      </c>
      <c r="E13" s="14" t="s">
        <v>845</v>
      </c>
      <c r="F13">
        <v>11</v>
      </c>
      <c r="K13" s="14" t="s">
        <v>1069</v>
      </c>
      <c r="M13">
        <v>1</v>
      </c>
      <c r="Q13">
        <v>1</v>
      </c>
    </row>
    <row r="14" spans="2:17" x14ac:dyDescent="0.25">
      <c r="B14" s="14" t="s">
        <v>1079</v>
      </c>
      <c r="C14">
        <v>1</v>
      </c>
      <c r="E14" s="14" t="s">
        <v>826</v>
      </c>
      <c r="F14">
        <v>107</v>
      </c>
      <c r="K14" s="14" t="s">
        <v>828</v>
      </c>
      <c r="L14">
        <v>1</v>
      </c>
      <c r="Q14">
        <v>1</v>
      </c>
    </row>
    <row r="15" spans="2:17" x14ac:dyDescent="0.25">
      <c r="B15" s="14" t="s">
        <v>829</v>
      </c>
      <c r="C15">
        <v>1</v>
      </c>
      <c r="K15" s="14" t="s">
        <v>827</v>
      </c>
      <c r="L15">
        <v>1</v>
      </c>
      <c r="Q15">
        <v>1</v>
      </c>
    </row>
    <row r="16" spans="2:17" x14ac:dyDescent="0.25">
      <c r="B16" s="14" t="s">
        <v>1080</v>
      </c>
      <c r="C16">
        <v>1</v>
      </c>
      <c r="E16" t="s">
        <v>847</v>
      </c>
      <c r="F16" t="s">
        <v>848</v>
      </c>
      <c r="K16" s="14" t="s">
        <v>1081</v>
      </c>
      <c r="L16">
        <v>1</v>
      </c>
      <c r="Q16">
        <v>1</v>
      </c>
    </row>
    <row r="17" spans="2:17" x14ac:dyDescent="0.25">
      <c r="B17" s="14" t="s">
        <v>828</v>
      </c>
      <c r="C17">
        <v>1</v>
      </c>
      <c r="E17">
        <f>GETPIVOTDATA("[Measures].[Recuento distinto de Equipo]",$B$3)</f>
        <v>18</v>
      </c>
      <c r="F17">
        <f>GETPIVOTDATA("[Measures].[Recuento de 10000500811]",$E$8)</f>
        <v>107</v>
      </c>
      <c r="K17" s="14" t="s">
        <v>1078</v>
      </c>
      <c r="L17">
        <v>1</v>
      </c>
      <c r="Q17">
        <v>1</v>
      </c>
    </row>
    <row r="18" spans="2:17" x14ac:dyDescent="0.25">
      <c r="B18" s="14" t="s">
        <v>1081</v>
      </c>
      <c r="C18">
        <v>1</v>
      </c>
      <c r="K18" s="14" t="s">
        <v>1077</v>
      </c>
      <c r="L18">
        <v>1</v>
      </c>
      <c r="Q18">
        <v>1</v>
      </c>
    </row>
    <row r="19" spans="2:17" x14ac:dyDescent="0.25">
      <c r="B19" s="14" t="s">
        <v>1077</v>
      </c>
      <c r="C19">
        <v>1</v>
      </c>
      <c r="K19" s="14" t="s">
        <v>1072</v>
      </c>
      <c r="L19">
        <v>1</v>
      </c>
      <c r="Q19">
        <v>1</v>
      </c>
    </row>
    <row r="20" spans="2:17" x14ac:dyDescent="0.25">
      <c r="B20" s="14" t="s">
        <v>1071</v>
      </c>
      <c r="C20">
        <v>1</v>
      </c>
      <c r="K20" s="14" t="s">
        <v>1071</v>
      </c>
      <c r="O20">
        <v>1</v>
      </c>
      <c r="Q20">
        <v>1</v>
      </c>
    </row>
    <row r="21" spans="2:17" x14ac:dyDescent="0.25">
      <c r="B21" s="14" t="s">
        <v>1082</v>
      </c>
      <c r="C21">
        <v>1</v>
      </c>
      <c r="K21" s="14" t="s">
        <v>1076</v>
      </c>
      <c r="O21">
        <v>2</v>
      </c>
      <c r="Q21">
        <v>2</v>
      </c>
    </row>
    <row r="22" spans="2:17" x14ac:dyDescent="0.25">
      <c r="B22" s="14" t="s">
        <v>826</v>
      </c>
      <c r="C22">
        <v>18</v>
      </c>
      <c r="K22" s="14" t="s">
        <v>1074</v>
      </c>
      <c r="L22">
        <v>1</v>
      </c>
      <c r="N22">
        <v>1</v>
      </c>
      <c r="Q22">
        <v>2</v>
      </c>
    </row>
    <row r="23" spans="2:17" x14ac:dyDescent="0.25">
      <c r="K23" s="14" t="s">
        <v>826</v>
      </c>
      <c r="L23">
        <v>9</v>
      </c>
      <c r="M23">
        <v>2</v>
      </c>
      <c r="N23">
        <v>3</v>
      </c>
      <c r="O23">
        <v>5</v>
      </c>
      <c r="P23">
        <v>1</v>
      </c>
      <c r="Q23">
        <v>20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0B35-8E4A-47AD-ADAB-739CAAB4D1D4}">
  <sheetPr codeName="Hoja5"/>
  <dimension ref="A2:D17"/>
  <sheetViews>
    <sheetView workbookViewId="0">
      <selection activeCell="G18" sqref="G18"/>
    </sheetView>
  </sheetViews>
  <sheetFormatPr baseColWidth="10" defaultRowHeight="15" x14ac:dyDescent="0.25"/>
  <cols>
    <col min="4" max="4" width="23" customWidth="1"/>
  </cols>
  <sheetData>
    <row r="2" spans="1:4" x14ac:dyDescent="0.25">
      <c r="A2" t="s">
        <v>833</v>
      </c>
    </row>
    <row r="3" spans="1:4" x14ac:dyDescent="0.25">
      <c r="A3" t="s">
        <v>993</v>
      </c>
    </row>
    <row r="4" spans="1:4" x14ac:dyDescent="0.25">
      <c r="A4" t="s">
        <v>836</v>
      </c>
      <c r="D4" s="19"/>
    </row>
    <row r="5" spans="1:4" x14ac:dyDescent="0.25">
      <c r="A5" t="s">
        <v>873</v>
      </c>
      <c r="D5" s="19"/>
    </row>
    <row r="6" spans="1:4" x14ac:dyDescent="0.25">
      <c r="A6" t="s">
        <v>874</v>
      </c>
      <c r="D6" s="19"/>
    </row>
    <row r="7" spans="1:4" x14ac:dyDescent="0.25">
      <c r="A7" t="s">
        <v>974</v>
      </c>
      <c r="D7" s="19"/>
    </row>
    <row r="8" spans="1:4" x14ac:dyDescent="0.25">
      <c r="A8" t="s">
        <v>975</v>
      </c>
      <c r="D8" s="19"/>
    </row>
    <row r="9" spans="1:4" x14ac:dyDescent="0.25">
      <c r="A9" t="s">
        <v>834</v>
      </c>
    </row>
    <row r="11" spans="1:4" x14ac:dyDescent="0.25">
      <c r="A11" t="s">
        <v>835</v>
      </c>
    </row>
    <row r="12" spans="1:4" x14ac:dyDescent="0.25">
      <c r="A12" t="s">
        <v>14</v>
      </c>
    </row>
    <row r="14" spans="1:4" x14ac:dyDescent="0.25">
      <c r="A14" t="s">
        <v>759</v>
      </c>
    </row>
    <row r="15" spans="1:4" x14ac:dyDescent="0.25">
      <c r="A15" t="s">
        <v>1199</v>
      </c>
    </row>
    <row r="16" spans="1:4" x14ac:dyDescent="0.25">
      <c r="A16" t="s">
        <v>1194</v>
      </c>
    </row>
    <row r="17" spans="1:1" x14ac:dyDescent="0.25">
      <c r="A17" t="s">
        <v>1196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2EA22B-C61F-4AB2-8D65-30CAED01D2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2026</vt:lpstr>
      <vt:lpstr>2025</vt:lpstr>
      <vt:lpstr>2024</vt:lpstr>
      <vt:lpstr>Hoja1</vt:lpstr>
      <vt:lpstr>Hoja5</vt:lpstr>
      <vt:lpstr>Hoja6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Villagra</dc:creator>
  <cp:lastModifiedBy>Alvaro Junior Jiménez Quintero</cp:lastModifiedBy>
  <dcterms:created xsi:type="dcterms:W3CDTF">2023-01-16T13:17:17Z</dcterms:created>
  <dcterms:modified xsi:type="dcterms:W3CDTF">2026-02-03T20:52:40Z</dcterms:modified>
</cp:coreProperties>
</file>